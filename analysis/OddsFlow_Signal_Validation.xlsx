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disang\AppData\Local\Packages\CLAUDE~1\LOCALC~1\Roaming\Claude\LOCAL-~1\85A496~1\3D77E3~1\LO6ABB~1\outputs\"/>
    </mc:Choice>
  </mc:AlternateContent>
  <bookViews>
    <workbookView xWindow="0" yWindow="0" windowWidth="22992" windowHeight="10440" tabRatio="500" activeTab="1"/>
  </bookViews>
  <sheets>
    <sheet name="Spread Signal" sheetId="1" r:id="rId1"/>
    <sheet name="DF Signal" sheetId="2" r:id="rId2"/>
    <sheet name="Baseline Cell x Market" sheetId="3" r:id="rId3"/>
    <sheet name="Tier x Market" sheetId="4" r:id="rId4"/>
    <sheet name="Cell x Tier x Market" sheetId="5" r:id="rId5"/>
    <sheet name="Notes" sheetId="6" r:id="rId6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7" i="5" l="1"/>
  <c r="H27" i="5"/>
  <c r="E27" i="5"/>
  <c r="K26" i="5"/>
  <c r="H26" i="5"/>
  <c r="E26" i="5"/>
  <c r="K25" i="5"/>
  <c r="H25" i="5"/>
  <c r="E25" i="5"/>
  <c r="K24" i="5"/>
  <c r="H24" i="5"/>
  <c r="E24" i="5"/>
  <c r="K23" i="5"/>
  <c r="H23" i="5"/>
  <c r="E23" i="5"/>
  <c r="K22" i="5"/>
  <c r="H22" i="5"/>
  <c r="E22" i="5"/>
  <c r="K21" i="5"/>
  <c r="H21" i="5"/>
  <c r="E21" i="5"/>
  <c r="K20" i="5"/>
  <c r="H20" i="5"/>
  <c r="E20" i="5"/>
  <c r="K19" i="5"/>
  <c r="H19" i="5"/>
  <c r="E19" i="5"/>
  <c r="K18" i="5"/>
  <c r="H18" i="5"/>
  <c r="E18" i="5"/>
  <c r="K17" i="5"/>
  <c r="H17" i="5"/>
  <c r="E17" i="5"/>
  <c r="K16" i="5"/>
  <c r="H16" i="5"/>
  <c r="E16" i="5"/>
  <c r="K15" i="5"/>
  <c r="H15" i="5"/>
  <c r="E15" i="5"/>
  <c r="K14" i="5"/>
  <c r="H14" i="5"/>
  <c r="E14" i="5"/>
  <c r="K13" i="5"/>
  <c r="H13" i="5"/>
  <c r="E13" i="5"/>
  <c r="K12" i="5"/>
  <c r="H12" i="5"/>
  <c r="E12" i="5"/>
  <c r="K11" i="5"/>
  <c r="H11" i="5"/>
  <c r="E11" i="5"/>
  <c r="K10" i="5"/>
  <c r="H10" i="5"/>
  <c r="E10" i="5"/>
  <c r="K9" i="5"/>
  <c r="H9" i="5"/>
  <c r="E9" i="5"/>
  <c r="K8" i="5"/>
  <c r="H8" i="5"/>
  <c r="E8" i="5"/>
  <c r="K7" i="5"/>
  <c r="H7" i="5"/>
  <c r="E7" i="5"/>
  <c r="K6" i="5"/>
  <c r="H6" i="5"/>
  <c r="E6" i="5"/>
  <c r="K5" i="5"/>
  <c r="H5" i="5"/>
  <c r="E5" i="5"/>
  <c r="K4" i="5"/>
  <c r="H4" i="5"/>
  <c r="E4" i="5"/>
  <c r="J6" i="4"/>
  <c r="G6" i="4"/>
  <c r="D6" i="4"/>
  <c r="J5" i="4"/>
  <c r="G5" i="4"/>
  <c r="D5" i="4"/>
  <c r="J4" i="4"/>
  <c r="G4" i="4"/>
  <c r="D4" i="4"/>
  <c r="K11" i="3"/>
  <c r="H11" i="3"/>
  <c r="E11" i="3"/>
  <c r="K10" i="3"/>
  <c r="H10" i="3"/>
  <c r="E10" i="3"/>
  <c r="K9" i="3"/>
  <c r="H9" i="3"/>
  <c r="E9" i="3"/>
  <c r="K8" i="3"/>
  <c r="H8" i="3"/>
  <c r="E8" i="3"/>
  <c r="K7" i="3"/>
  <c r="H7" i="3"/>
  <c r="E7" i="3"/>
  <c r="K6" i="3"/>
  <c r="H6" i="3"/>
  <c r="E6" i="3"/>
  <c r="K5" i="3"/>
  <c r="H5" i="3"/>
  <c r="E5" i="3"/>
  <c r="K4" i="3"/>
  <c r="H4" i="3"/>
  <c r="E4" i="3"/>
  <c r="M27" i="2"/>
  <c r="L27" i="2"/>
  <c r="K27" i="2"/>
  <c r="H27" i="2"/>
  <c r="E27" i="2"/>
  <c r="M26" i="2"/>
  <c r="L26" i="2"/>
  <c r="K26" i="2"/>
  <c r="H26" i="2"/>
  <c r="E26" i="2"/>
  <c r="M25" i="2"/>
  <c r="L25" i="2"/>
  <c r="K25" i="2"/>
  <c r="H25" i="2"/>
  <c r="E25" i="2"/>
  <c r="M24" i="2"/>
  <c r="L24" i="2"/>
  <c r="K24" i="2"/>
  <c r="H24" i="2"/>
  <c r="E24" i="2"/>
  <c r="M23" i="2"/>
  <c r="L23" i="2"/>
  <c r="K23" i="2"/>
  <c r="H23" i="2"/>
  <c r="E23" i="2"/>
  <c r="M22" i="2"/>
  <c r="L22" i="2"/>
  <c r="K22" i="2"/>
  <c r="H22" i="2"/>
  <c r="E22" i="2"/>
  <c r="M21" i="2"/>
  <c r="L21" i="2"/>
  <c r="K21" i="2"/>
  <c r="H21" i="2"/>
  <c r="E21" i="2"/>
  <c r="M20" i="2"/>
  <c r="L20" i="2"/>
  <c r="K20" i="2"/>
  <c r="H20" i="2"/>
  <c r="E20" i="2"/>
  <c r="M19" i="2"/>
  <c r="L19" i="2"/>
  <c r="K19" i="2"/>
  <c r="H19" i="2"/>
  <c r="E19" i="2"/>
  <c r="M18" i="2"/>
  <c r="L18" i="2"/>
  <c r="K18" i="2"/>
  <c r="H18" i="2"/>
  <c r="E18" i="2"/>
  <c r="M17" i="2"/>
  <c r="K17" i="2"/>
  <c r="L17" i="2" s="1"/>
  <c r="H17" i="2"/>
  <c r="E17" i="2"/>
  <c r="M16" i="2"/>
  <c r="L16" i="2"/>
  <c r="K16" i="2"/>
  <c r="H16" i="2"/>
  <c r="E16" i="2"/>
  <c r="M15" i="2"/>
  <c r="L15" i="2"/>
  <c r="K15" i="2"/>
  <c r="H15" i="2"/>
  <c r="E15" i="2"/>
  <c r="M14" i="2"/>
  <c r="L14" i="2"/>
  <c r="K14" i="2"/>
  <c r="H14" i="2"/>
  <c r="E14" i="2"/>
  <c r="M13" i="2"/>
  <c r="L13" i="2"/>
  <c r="K13" i="2"/>
  <c r="H13" i="2"/>
  <c r="E13" i="2"/>
  <c r="M12" i="2"/>
  <c r="L12" i="2"/>
  <c r="K12" i="2"/>
  <c r="H12" i="2"/>
  <c r="E12" i="2"/>
  <c r="M11" i="2"/>
  <c r="K11" i="2"/>
  <c r="L11" i="2" s="1"/>
  <c r="H11" i="2"/>
  <c r="E11" i="2"/>
  <c r="M10" i="2"/>
  <c r="L10" i="2"/>
  <c r="K10" i="2"/>
  <c r="H10" i="2"/>
  <c r="E10" i="2"/>
  <c r="M9" i="2"/>
  <c r="K9" i="2"/>
  <c r="L9" i="2" s="1"/>
  <c r="H9" i="2"/>
  <c r="E9" i="2"/>
  <c r="M8" i="2"/>
  <c r="L8" i="2"/>
  <c r="K8" i="2"/>
  <c r="H8" i="2"/>
  <c r="E8" i="2"/>
  <c r="M7" i="2"/>
  <c r="K7" i="2"/>
  <c r="L7" i="2" s="1"/>
  <c r="H7" i="2"/>
  <c r="E7" i="2"/>
  <c r="M6" i="2"/>
  <c r="L6" i="2"/>
  <c r="K6" i="2"/>
  <c r="H6" i="2"/>
  <c r="E6" i="2"/>
  <c r="M5" i="2"/>
  <c r="K5" i="2"/>
  <c r="L5" i="2" s="1"/>
  <c r="H5" i="2"/>
  <c r="E5" i="2"/>
  <c r="M4" i="2"/>
  <c r="L4" i="2"/>
  <c r="K4" i="2"/>
  <c r="H4" i="2"/>
  <c r="E4" i="2"/>
  <c r="J27" i="1"/>
  <c r="H27" i="1"/>
  <c r="E27" i="1"/>
  <c r="I27" i="1" s="1"/>
  <c r="J26" i="1"/>
  <c r="H26" i="1"/>
  <c r="E26" i="1"/>
  <c r="I26" i="1" s="1"/>
  <c r="J25" i="1"/>
  <c r="H25" i="1"/>
  <c r="E25" i="1"/>
  <c r="I25" i="1" s="1"/>
  <c r="J24" i="1"/>
  <c r="H24" i="1"/>
  <c r="E24" i="1"/>
  <c r="I24" i="1" s="1"/>
  <c r="J23" i="1"/>
  <c r="H23" i="1"/>
  <c r="E23" i="1"/>
  <c r="I23" i="1" s="1"/>
  <c r="J22" i="1"/>
  <c r="H22" i="1"/>
  <c r="E22" i="1"/>
  <c r="I22" i="1" s="1"/>
  <c r="J21" i="1"/>
  <c r="H21" i="1"/>
  <c r="E21" i="1"/>
  <c r="I21" i="1" s="1"/>
  <c r="J20" i="1"/>
  <c r="H20" i="1"/>
  <c r="E20" i="1"/>
  <c r="I20" i="1" s="1"/>
  <c r="J19" i="1"/>
  <c r="H19" i="1"/>
  <c r="E19" i="1"/>
  <c r="I19" i="1" s="1"/>
  <c r="J18" i="1"/>
  <c r="H18" i="1"/>
  <c r="E18" i="1"/>
  <c r="I18" i="1" s="1"/>
  <c r="J17" i="1"/>
  <c r="H17" i="1"/>
  <c r="E17" i="1"/>
  <c r="I17" i="1" s="1"/>
  <c r="J16" i="1"/>
  <c r="H16" i="1"/>
  <c r="E16" i="1"/>
  <c r="I16" i="1" s="1"/>
  <c r="J15" i="1"/>
  <c r="H15" i="1"/>
  <c r="E15" i="1"/>
  <c r="I15" i="1" s="1"/>
  <c r="J14" i="1"/>
  <c r="H14" i="1"/>
  <c r="E14" i="1"/>
  <c r="I14" i="1" s="1"/>
  <c r="J13" i="1"/>
  <c r="H13" i="1"/>
  <c r="E13" i="1"/>
  <c r="I13" i="1" s="1"/>
  <c r="J12" i="1"/>
  <c r="H12" i="1"/>
  <c r="E12" i="1"/>
  <c r="I12" i="1" s="1"/>
  <c r="J11" i="1"/>
  <c r="H11" i="1"/>
  <c r="E11" i="1"/>
  <c r="I11" i="1" s="1"/>
  <c r="J10" i="1"/>
  <c r="H10" i="1"/>
  <c r="E10" i="1"/>
  <c r="I10" i="1" s="1"/>
  <c r="J9" i="1"/>
  <c r="H9" i="1"/>
  <c r="E9" i="1"/>
  <c r="I9" i="1" s="1"/>
  <c r="J8" i="1"/>
  <c r="H8" i="1"/>
  <c r="E8" i="1"/>
  <c r="I8" i="1" s="1"/>
  <c r="J7" i="1"/>
  <c r="H7" i="1"/>
  <c r="E7" i="1"/>
  <c r="I7" i="1" s="1"/>
  <c r="J6" i="1"/>
  <c r="H6" i="1"/>
  <c r="E6" i="1"/>
  <c r="I6" i="1" s="1"/>
  <c r="J5" i="1"/>
  <c r="H5" i="1"/>
  <c r="E5" i="1"/>
  <c r="I5" i="1" s="1"/>
  <c r="J4" i="1"/>
  <c r="H4" i="1"/>
  <c r="E4" i="1"/>
  <c r="I4" i="1" s="1"/>
</calcChain>
</file>

<file path=xl/sharedStrings.xml><?xml version="1.0" encoding="utf-8"?>
<sst xmlns="http://schemas.openxmlformats.org/spreadsheetml/2006/main" count="242" uniqueCount="72">
  <si>
    <t>BTS SPREAD SIGNAL - per-market hit rate within each cell (strong vs slight)</t>
  </si>
  <si>
    <t>Cell</t>
  </si>
  <si>
    <t>Market</t>
  </si>
  <si>
    <t>Strong W</t>
  </si>
  <si>
    <t>Strong N</t>
  </si>
  <si>
    <t>Strong Hit</t>
  </si>
  <si>
    <t>Slight W</t>
  </si>
  <si>
    <t>Slight N</t>
  </si>
  <si>
    <t>Slight Hit</t>
  </si>
  <si>
    <t>Gap (str-sli)</t>
  </si>
  <si>
    <t>Sample</t>
  </si>
  <si>
    <t>strong:over</t>
  </si>
  <si>
    <t>goals</t>
  </si>
  <si>
    <t>corners</t>
  </si>
  <si>
    <t>3way</t>
  </si>
  <si>
    <t>strong:under</t>
  </si>
  <si>
    <t>standard:over</t>
  </si>
  <si>
    <t>standard:under</t>
  </si>
  <si>
    <t>low:over</t>
  </si>
  <si>
    <t>low:under</t>
  </si>
  <si>
    <t>one_sided:over</t>
  </si>
  <si>
    <t>one_sided:under</t>
  </si>
  <si>
    <t>DF SIGNAL (home/away odds gap) - per-market hit rate within each cell</t>
  </si>
  <si>
    <t>DF0 W</t>
  </si>
  <si>
    <t>DF0 N</t>
  </si>
  <si>
    <t>DF0 Hit</t>
  </si>
  <si>
    <t>DF1 W</t>
  </si>
  <si>
    <t>DF1 N</t>
  </si>
  <si>
    <t>DF1 Hit</t>
  </si>
  <si>
    <t>DF2 W</t>
  </si>
  <si>
    <t>DF2 N</t>
  </si>
  <si>
    <t>DF2 Hit</t>
  </si>
  <si>
    <t>DF2-DF0</t>
  </si>
  <si>
    <t>min N</t>
  </si>
  <si>
    <t>BASELINE - hit rate per cell per market (all signals combined)</t>
  </si>
  <si>
    <t>Corner line</t>
  </si>
  <si>
    <t>Goals W</t>
  </si>
  <si>
    <t>Goals N</t>
  </si>
  <si>
    <t>Goals Hit</t>
  </si>
  <si>
    <t>Corners W</t>
  </si>
  <si>
    <t>Corners N</t>
  </si>
  <si>
    <t>Corners Hit</t>
  </si>
  <si>
    <t>3-Way W</t>
  </si>
  <si>
    <t>3-Way N</t>
  </si>
  <si>
    <t>3-Way Hit</t>
  </si>
  <si>
    <t>O7.5</t>
  </si>
  <si>
    <t>O8.5</t>
  </si>
  <si>
    <t>TIER x MARKET - hit rate per tier per market</t>
  </si>
  <si>
    <t>Tier</t>
  </si>
  <si>
    <t>T1</t>
  </si>
  <si>
    <t>T2</t>
  </si>
  <si>
    <t>T3</t>
  </si>
  <si>
    <t>CELL x TIER x MARKET - the tier-by-tier edge per cell</t>
  </si>
  <si>
    <t>OddsFlow V4 - Signal Validation Test</t>
  </si>
  <si>
    <t>Source: data/oddsflow_v4.db  |  Generated: 2026-06-18 11:05 UTC</t>
  </si>
  <si>
    <t>Population: 28,846 settled, classifiable fixtures (full 1X2 + BTS odds).</t>
  </si>
  <si>
    <t>What this tests: for each (zone x bts) cell, does a SIGNAL split the per-market hit rate?</t>
  </si>
  <si>
    <t>Hit% and Gap are live Excel formulas over the raw Win / N counts - edit a count and it recalcs.</t>
  </si>
  <si>
    <t>Definitions (match app/engine/classify.py exactly):</t>
  </si>
  <si>
    <t>zone:   strong 2.90-3.30 | standard 3.30-3.80 | low 3.80-4.30 | one_sided &gt;=4.30 | &lt;2.90 excluded</t>
  </si>
  <si>
    <t>bts:    over = btts_yes_odd &lt;= btts_no_odd, else under</t>
  </si>
  <si>
    <t>spread: strong = min(yes,no) &lt; 1.50, else slight</t>
  </si>
  <si>
    <t>DF:     |round(home_odd)-round(away_odd)| -&gt; DF0 / DF1 / DF2(&gt;=2)</t>
  </si>
  <si>
    <t>Market settlement:</t>
  </si>
  <si>
    <t>goals   = Over 1.5 goals (home+away &gt;= 2)</t>
  </si>
  <si>
    <t>corners = Over 7.5 (strong zone) / Over 8.5 (rest); only fixtures with corner stats counted</t>
  </si>
  <si>
    <t>3-Way   = alpha-or-draw: favourite (lower odd) wins OR draw (a draw is a WIN)</t>
  </si>
  <si>
    <t>How to read:</t>
  </si>
  <si>
    <t>'Sample = thin' = one arm has &lt; 25 fixtures -&gt; gap unreliable, do not act on it.</t>
  </si>
  <si>
    <t>Spread is mainly readable in :over cells (strong spread is rare on the :under side).</t>
  </si>
  <si>
    <t>Headline: strong spread lifts goals AND corners but HURTS the 3-way in over-cells;</t>
  </si>
  <si>
    <t>the engine currently uses spread only for goals - about 2/3 of the effect is unused.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</si>
</sst>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\+0.0%;\-0.0%;0.0%"/>
  </numFmts>
  <fonts count="6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zoomScaleNormal="100" workbookViewId="0">
      <pane ySplit="3" topLeftCell="A4" activePane="bottomLeft" state="frozen"/>
      <selection pane="bottomLeft" activeCell="I30" sqref="I30"/>
    </sheetView>
  </sheetViews>
  <sheetFormatPr defaultColWidth="8.6640625" defaultRowHeight="14.4" x14ac:dyDescent="0.3"/>
  <cols>
    <col min="1" max="1" width="16" customWidth="1"/>
    <col min="2" max="4" width="9" customWidth="1"/>
    <col min="5" max="5" width="11" customWidth="1"/>
    <col min="6" max="7" width="9" customWidth="1"/>
    <col min="8" max="8" width="11" customWidth="1"/>
    <col min="9" max="9" width="13" customWidth="1"/>
    <col min="10" max="10" width="8" customWidth="1"/>
  </cols>
  <sheetData>
    <row r="1" spans="1:10" ht="15.6" x14ac:dyDescent="0.3">
      <c r="A1" s="1" t="s">
        <v>0</v>
      </c>
    </row>
    <row r="3" spans="1:10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3">
      <c r="A4" s="3" t="s">
        <v>11</v>
      </c>
      <c r="B4" s="4" t="s">
        <v>12</v>
      </c>
      <c r="C4" s="4">
        <v>1</v>
      </c>
      <c r="D4" s="4">
        <v>1</v>
      </c>
      <c r="E4" s="5">
        <f t="shared" ref="E4:E27" si="0">IF(D4=0,"",C4/D4)</f>
        <v>1</v>
      </c>
      <c r="F4" s="4">
        <v>2138</v>
      </c>
      <c r="G4" s="4">
        <v>2981</v>
      </c>
      <c r="H4" s="5">
        <f t="shared" ref="H4:H27" si="1">IF(G4=0,"",F4/G4)</f>
        <v>0.71720899027172091</v>
      </c>
      <c r="I4" s="6">
        <f t="shared" ref="I4:I27" si="2">IF(OR(D4=0,G4=0),"",E4-H4)</f>
        <v>0.28279100972827909</v>
      </c>
      <c r="J4" s="4" t="str">
        <f t="shared" ref="J4:J27" si="3">IF(AND(D4&gt;=25,G4&gt;=25),"OK","thin")</f>
        <v>thin</v>
      </c>
    </row>
    <row r="5" spans="1:10" x14ac:dyDescent="0.3">
      <c r="A5" s="4" t="s">
        <v>11</v>
      </c>
      <c r="B5" s="4" t="s">
        <v>13</v>
      </c>
      <c r="C5" s="4">
        <v>0</v>
      </c>
      <c r="D5" s="4">
        <v>1</v>
      </c>
      <c r="E5" s="5">
        <f t="shared" si="0"/>
        <v>0</v>
      </c>
      <c r="F5" s="4">
        <v>1624</v>
      </c>
      <c r="G5" s="4">
        <v>2324</v>
      </c>
      <c r="H5" s="5">
        <f t="shared" si="1"/>
        <v>0.6987951807228916</v>
      </c>
      <c r="I5" s="6">
        <f t="shared" si="2"/>
        <v>-0.6987951807228916</v>
      </c>
      <c r="J5" s="4" t="str">
        <f t="shared" si="3"/>
        <v>thin</v>
      </c>
    </row>
    <row r="6" spans="1:10" x14ac:dyDescent="0.3">
      <c r="A6" s="4" t="s">
        <v>11</v>
      </c>
      <c r="B6" s="4" t="s">
        <v>14</v>
      </c>
      <c r="C6" s="4">
        <v>1</v>
      </c>
      <c r="D6" s="4">
        <v>1</v>
      </c>
      <c r="E6" s="5">
        <f t="shared" si="0"/>
        <v>1</v>
      </c>
      <c r="F6" s="4">
        <v>2068</v>
      </c>
      <c r="G6" s="4">
        <v>2981</v>
      </c>
      <c r="H6" s="5">
        <f t="shared" si="1"/>
        <v>0.69372693726937273</v>
      </c>
      <c r="I6" s="6">
        <f t="shared" si="2"/>
        <v>0.30627306273062727</v>
      </c>
      <c r="J6" s="4" t="str">
        <f t="shared" si="3"/>
        <v>thin</v>
      </c>
    </row>
    <row r="7" spans="1:10" x14ac:dyDescent="0.3">
      <c r="A7" s="3" t="s">
        <v>15</v>
      </c>
      <c r="B7" s="4" t="s">
        <v>12</v>
      </c>
      <c r="C7" s="4">
        <v>8</v>
      </c>
      <c r="D7" s="4">
        <v>16</v>
      </c>
      <c r="E7" s="5">
        <f t="shared" si="0"/>
        <v>0.5</v>
      </c>
      <c r="F7" s="4">
        <v>3216</v>
      </c>
      <c r="G7" s="4">
        <v>4813</v>
      </c>
      <c r="H7" s="5">
        <f t="shared" si="1"/>
        <v>0.66819031788905048</v>
      </c>
      <c r="I7" s="6">
        <f t="shared" si="2"/>
        <v>-0.16819031788905048</v>
      </c>
      <c r="J7" s="4" t="str">
        <f t="shared" si="3"/>
        <v>thin</v>
      </c>
    </row>
    <row r="8" spans="1:10" x14ac:dyDescent="0.3">
      <c r="A8" s="4" t="s">
        <v>15</v>
      </c>
      <c r="B8" s="4" t="s">
        <v>13</v>
      </c>
      <c r="C8" s="4">
        <v>10</v>
      </c>
      <c r="D8" s="4">
        <v>14</v>
      </c>
      <c r="E8" s="5">
        <f t="shared" si="0"/>
        <v>0.7142857142857143</v>
      </c>
      <c r="F8" s="4">
        <v>2205</v>
      </c>
      <c r="G8" s="4">
        <v>3260</v>
      </c>
      <c r="H8" s="5">
        <f t="shared" si="1"/>
        <v>0.67638036809815949</v>
      </c>
      <c r="I8" s="6">
        <f t="shared" si="2"/>
        <v>3.7905346187554811E-2</v>
      </c>
      <c r="J8" s="4" t="str">
        <f t="shared" si="3"/>
        <v>thin</v>
      </c>
    </row>
    <row r="9" spans="1:10" x14ac:dyDescent="0.3">
      <c r="A9" s="4" t="s">
        <v>15</v>
      </c>
      <c r="B9" s="4" t="s">
        <v>14</v>
      </c>
      <c r="C9" s="4">
        <v>15</v>
      </c>
      <c r="D9" s="4">
        <v>16</v>
      </c>
      <c r="E9" s="5">
        <f t="shared" si="0"/>
        <v>0.9375</v>
      </c>
      <c r="F9" s="4">
        <v>3572</v>
      </c>
      <c r="G9" s="4">
        <v>4813</v>
      </c>
      <c r="H9" s="5">
        <f t="shared" si="1"/>
        <v>0.74215665904841055</v>
      </c>
      <c r="I9" s="6">
        <f t="shared" si="2"/>
        <v>0.19534334095158945</v>
      </c>
      <c r="J9" s="4" t="str">
        <f t="shared" si="3"/>
        <v>thin</v>
      </c>
    </row>
    <row r="10" spans="1:10" x14ac:dyDescent="0.3">
      <c r="A10" s="3" t="s">
        <v>16</v>
      </c>
      <c r="B10" s="4" t="s">
        <v>12</v>
      </c>
      <c r="C10" s="4">
        <v>754</v>
      </c>
      <c r="D10" s="4">
        <v>900</v>
      </c>
      <c r="E10" s="5">
        <f t="shared" si="0"/>
        <v>0.83777777777777773</v>
      </c>
      <c r="F10" s="4">
        <v>7834</v>
      </c>
      <c r="G10" s="4">
        <v>10208</v>
      </c>
      <c r="H10" s="5">
        <f t="shared" si="1"/>
        <v>0.76743730407523514</v>
      </c>
      <c r="I10" s="6">
        <f t="shared" si="2"/>
        <v>7.0340473702542594E-2</v>
      </c>
      <c r="J10" s="4" t="str">
        <f t="shared" si="3"/>
        <v>OK</v>
      </c>
    </row>
    <row r="11" spans="1:10" x14ac:dyDescent="0.3">
      <c r="A11" s="4" t="s">
        <v>16</v>
      </c>
      <c r="B11" s="4" t="s">
        <v>13</v>
      </c>
      <c r="C11" s="4">
        <v>533</v>
      </c>
      <c r="D11" s="4">
        <v>783</v>
      </c>
      <c r="E11" s="5">
        <f t="shared" si="0"/>
        <v>0.68071519795657731</v>
      </c>
      <c r="F11" s="4">
        <v>4910</v>
      </c>
      <c r="G11" s="4">
        <v>7721</v>
      </c>
      <c r="H11" s="5">
        <f t="shared" si="1"/>
        <v>0.63592798860251265</v>
      </c>
      <c r="I11" s="6">
        <f t="shared" si="2"/>
        <v>4.4787209354064661E-2</v>
      </c>
      <c r="J11" s="4" t="str">
        <f t="shared" si="3"/>
        <v>OK</v>
      </c>
    </row>
    <row r="12" spans="1:10" x14ac:dyDescent="0.3">
      <c r="A12" s="4" t="s">
        <v>16</v>
      </c>
      <c r="B12" s="4" t="s">
        <v>14</v>
      </c>
      <c r="C12" s="4">
        <v>604</v>
      </c>
      <c r="D12" s="4">
        <v>900</v>
      </c>
      <c r="E12" s="5">
        <f t="shared" si="0"/>
        <v>0.6711111111111111</v>
      </c>
      <c r="F12" s="4">
        <v>7462</v>
      </c>
      <c r="G12" s="4">
        <v>10208</v>
      </c>
      <c r="H12" s="5">
        <f t="shared" si="1"/>
        <v>0.73099529780564265</v>
      </c>
      <c r="I12" s="6">
        <f t="shared" si="2"/>
        <v>-5.9884186694531549E-2</v>
      </c>
      <c r="J12" s="4" t="str">
        <f t="shared" si="3"/>
        <v>OK</v>
      </c>
    </row>
    <row r="13" spans="1:10" x14ac:dyDescent="0.3">
      <c r="A13" s="3" t="s">
        <v>17</v>
      </c>
      <c r="B13" s="4" t="s">
        <v>12</v>
      </c>
      <c r="C13" s="4">
        <v>14</v>
      </c>
      <c r="D13" s="4">
        <v>19</v>
      </c>
      <c r="E13" s="5">
        <f t="shared" si="0"/>
        <v>0.73684210526315785</v>
      </c>
      <c r="F13" s="4">
        <v>1472</v>
      </c>
      <c r="G13" s="4">
        <v>2054</v>
      </c>
      <c r="H13" s="5">
        <f t="shared" si="1"/>
        <v>0.71665043816942553</v>
      </c>
      <c r="I13" s="6">
        <f t="shared" si="2"/>
        <v>2.0191667093732324E-2</v>
      </c>
      <c r="J13" s="4" t="str">
        <f t="shared" si="3"/>
        <v>thin</v>
      </c>
    </row>
    <row r="14" spans="1:10" x14ac:dyDescent="0.3">
      <c r="A14" s="4" t="s">
        <v>17</v>
      </c>
      <c r="B14" s="4" t="s">
        <v>13</v>
      </c>
      <c r="C14" s="4">
        <v>1</v>
      </c>
      <c r="D14" s="4">
        <v>8</v>
      </c>
      <c r="E14" s="5">
        <f t="shared" si="0"/>
        <v>0.125</v>
      </c>
      <c r="F14" s="4">
        <v>804</v>
      </c>
      <c r="G14" s="4">
        <v>1416</v>
      </c>
      <c r="H14" s="5">
        <f t="shared" si="1"/>
        <v>0.56779661016949157</v>
      </c>
      <c r="I14" s="6">
        <f t="shared" si="2"/>
        <v>-0.44279661016949157</v>
      </c>
      <c r="J14" s="4" t="str">
        <f t="shared" si="3"/>
        <v>thin</v>
      </c>
    </row>
    <row r="15" spans="1:10" x14ac:dyDescent="0.3">
      <c r="A15" s="4" t="s">
        <v>17</v>
      </c>
      <c r="B15" s="4" t="s">
        <v>14</v>
      </c>
      <c r="C15" s="4">
        <v>16</v>
      </c>
      <c r="D15" s="4">
        <v>19</v>
      </c>
      <c r="E15" s="5">
        <f t="shared" si="0"/>
        <v>0.84210526315789469</v>
      </c>
      <c r="F15" s="4">
        <v>1673</v>
      </c>
      <c r="G15" s="4">
        <v>2054</v>
      </c>
      <c r="H15" s="5">
        <f t="shared" si="1"/>
        <v>0.81450827653359303</v>
      </c>
      <c r="I15" s="6">
        <f t="shared" si="2"/>
        <v>2.7596986624301656E-2</v>
      </c>
      <c r="J15" s="4" t="str">
        <f t="shared" si="3"/>
        <v>thin</v>
      </c>
    </row>
    <row r="16" spans="1:10" x14ac:dyDescent="0.3">
      <c r="A16" s="3" t="s">
        <v>18</v>
      </c>
      <c r="B16" s="4" t="s">
        <v>12</v>
      </c>
      <c r="C16" s="4">
        <v>567</v>
      </c>
      <c r="D16" s="4">
        <v>665</v>
      </c>
      <c r="E16" s="5">
        <f t="shared" si="0"/>
        <v>0.85263157894736841</v>
      </c>
      <c r="F16" s="4">
        <v>2024</v>
      </c>
      <c r="G16" s="4">
        <v>2536</v>
      </c>
      <c r="H16" s="5">
        <f t="shared" si="1"/>
        <v>0.79810725552050477</v>
      </c>
      <c r="I16" s="6">
        <f t="shared" si="2"/>
        <v>5.4524323426863641E-2</v>
      </c>
      <c r="J16" s="4" t="str">
        <f t="shared" si="3"/>
        <v>OK</v>
      </c>
    </row>
    <row r="17" spans="1:10" x14ac:dyDescent="0.3">
      <c r="A17" s="4" t="s">
        <v>18</v>
      </c>
      <c r="B17" s="4" t="s">
        <v>13</v>
      </c>
      <c r="C17" s="4">
        <v>448</v>
      </c>
      <c r="D17" s="4">
        <v>628</v>
      </c>
      <c r="E17" s="5">
        <f t="shared" si="0"/>
        <v>0.7133757961783439</v>
      </c>
      <c r="F17" s="4">
        <v>1407</v>
      </c>
      <c r="G17" s="4">
        <v>2164</v>
      </c>
      <c r="H17" s="5">
        <f t="shared" si="1"/>
        <v>0.65018484288354894</v>
      </c>
      <c r="I17" s="6">
        <f t="shared" si="2"/>
        <v>6.319095329479496E-2</v>
      </c>
      <c r="J17" s="4" t="str">
        <f t="shared" si="3"/>
        <v>OK</v>
      </c>
    </row>
    <row r="18" spans="1:10" x14ac:dyDescent="0.3">
      <c r="A18" s="4" t="s">
        <v>18</v>
      </c>
      <c r="B18" s="4" t="s">
        <v>14</v>
      </c>
      <c r="C18" s="4">
        <v>492</v>
      </c>
      <c r="D18" s="4">
        <v>665</v>
      </c>
      <c r="E18" s="5">
        <f t="shared" si="0"/>
        <v>0.73984962406015042</v>
      </c>
      <c r="F18" s="4">
        <v>2066</v>
      </c>
      <c r="G18" s="4">
        <v>2536</v>
      </c>
      <c r="H18" s="5">
        <f t="shared" si="1"/>
        <v>0.81466876971608837</v>
      </c>
      <c r="I18" s="6">
        <f t="shared" si="2"/>
        <v>-7.4819145655937946E-2</v>
      </c>
      <c r="J18" s="4" t="str">
        <f t="shared" si="3"/>
        <v>OK</v>
      </c>
    </row>
    <row r="19" spans="1:10" x14ac:dyDescent="0.3">
      <c r="A19" s="3" t="s">
        <v>19</v>
      </c>
      <c r="B19" s="4" t="s">
        <v>12</v>
      </c>
      <c r="C19" s="4">
        <v>10</v>
      </c>
      <c r="D19" s="4">
        <v>18</v>
      </c>
      <c r="E19" s="5">
        <f t="shared" si="0"/>
        <v>0.55555555555555558</v>
      </c>
      <c r="F19" s="4">
        <v>563</v>
      </c>
      <c r="G19" s="4">
        <v>787</v>
      </c>
      <c r="H19" s="5">
        <f t="shared" si="1"/>
        <v>0.71537484116899619</v>
      </c>
      <c r="I19" s="6">
        <f t="shared" si="2"/>
        <v>-0.15981928561344061</v>
      </c>
      <c r="J19" s="4" t="str">
        <f t="shared" si="3"/>
        <v>thin</v>
      </c>
    </row>
    <row r="20" spans="1:10" x14ac:dyDescent="0.3">
      <c r="A20" s="4" t="s">
        <v>19</v>
      </c>
      <c r="B20" s="4" t="s">
        <v>13</v>
      </c>
      <c r="C20" s="4">
        <v>3</v>
      </c>
      <c r="D20" s="4">
        <v>7</v>
      </c>
      <c r="E20" s="5">
        <f t="shared" si="0"/>
        <v>0.42857142857142855</v>
      </c>
      <c r="F20" s="4">
        <v>312</v>
      </c>
      <c r="G20" s="4">
        <v>561</v>
      </c>
      <c r="H20" s="5">
        <f t="shared" si="1"/>
        <v>0.55614973262032086</v>
      </c>
      <c r="I20" s="6">
        <f t="shared" si="2"/>
        <v>-0.12757830404889231</v>
      </c>
      <c r="J20" s="4" t="str">
        <f t="shared" si="3"/>
        <v>thin</v>
      </c>
    </row>
    <row r="21" spans="1:10" x14ac:dyDescent="0.3">
      <c r="A21" s="4" t="s">
        <v>19</v>
      </c>
      <c r="B21" s="4" t="s">
        <v>14</v>
      </c>
      <c r="C21" s="4">
        <v>14</v>
      </c>
      <c r="D21" s="4">
        <v>18</v>
      </c>
      <c r="E21" s="5">
        <f t="shared" si="0"/>
        <v>0.77777777777777779</v>
      </c>
      <c r="F21" s="4">
        <v>698</v>
      </c>
      <c r="G21" s="4">
        <v>787</v>
      </c>
      <c r="H21" s="5">
        <f t="shared" si="1"/>
        <v>0.88691232528589581</v>
      </c>
      <c r="I21" s="6">
        <f t="shared" si="2"/>
        <v>-0.10913454750811802</v>
      </c>
      <c r="J21" s="4" t="str">
        <f t="shared" si="3"/>
        <v>thin</v>
      </c>
    </row>
    <row r="22" spans="1:10" x14ac:dyDescent="0.3">
      <c r="A22" s="3" t="s">
        <v>20</v>
      </c>
      <c r="B22" s="4" t="s">
        <v>12</v>
      </c>
      <c r="C22" s="4">
        <v>200</v>
      </c>
      <c r="D22" s="4">
        <v>223</v>
      </c>
      <c r="E22" s="5">
        <f t="shared" si="0"/>
        <v>0.89686098654708524</v>
      </c>
      <c r="F22" s="4">
        <v>1882</v>
      </c>
      <c r="G22" s="4">
        <v>2244</v>
      </c>
      <c r="H22" s="5">
        <f t="shared" si="1"/>
        <v>0.83868092691622098</v>
      </c>
      <c r="I22" s="6">
        <f t="shared" si="2"/>
        <v>5.8180059630864256E-2</v>
      </c>
      <c r="J22" s="4" t="str">
        <f t="shared" si="3"/>
        <v>OK</v>
      </c>
    </row>
    <row r="23" spans="1:10" x14ac:dyDescent="0.3">
      <c r="A23" s="4" t="s">
        <v>20</v>
      </c>
      <c r="B23" s="4" t="s">
        <v>13</v>
      </c>
      <c r="C23" s="4">
        <v>143</v>
      </c>
      <c r="D23" s="4">
        <v>215</v>
      </c>
      <c r="E23" s="5">
        <f t="shared" si="0"/>
        <v>0.66511627906976745</v>
      </c>
      <c r="F23" s="4">
        <v>1453</v>
      </c>
      <c r="G23" s="4">
        <v>2098</v>
      </c>
      <c r="H23" s="5">
        <f t="shared" si="1"/>
        <v>0.69256434699714009</v>
      </c>
      <c r="I23" s="6">
        <f t="shared" si="2"/>
        <v>-2.7448067927372644E-2</v>
      </c>
      <c r="J23" s="4" t="str">
        <f t="shared" si="3"/>
        <v>OK</v>
      </c>
    </row>
    <row r="24" spans="1:10" x14ac:dyDescent="0.3">
      <c r="A24" s="4" t="s">
        <v>20</v>
      </c>
      <c r="B24" s="4" t="s">
        <v>14</v>
      </c>
      <c r="C24" s="4">
        <v>184</v>
      </c>
      <c r="D24" s="4">
        <v>223</v>
      </c>
      <c r="E24" s="5">
        <f t="shared" si="0"/>
        <v>0.82511210762331844</v>
      </c>
      <c r="F24" s="4">
        <v>1991</v>
      </c>
      <c r="G24" s="4">
        <v>2244</v>
      </c>
      <c r="H24" s="5">
        <f t="shared" si="1"/>
        <v>0.88725490196078427</v>
      </c>
      <c r="I24" s="6">
        <f t="shared" si="2"/>
        <v>-6.2142794337465834E-2</v>
      </c>
      <c r="J24" s="4" t="str">
        <f t="shared" si="3"/>
        <v>OK</v>
      </c>
    </row>
    <row r="25" spans="1:10" x14ac:dyDescent="0.3">
      <c r="A25" s="3" t="s">
        <v>21</v>
      </c>
      <c r="B25" s="4" t="s">
        <v>12</v>
      </c>
      <c r="C25" s="4">
        <v>48</v>
      </c>
      <c r="D25" s="4">
        <v>66</v>
      </c>
      <c r="E25" s="5">
        <f t="shared" si="0"/>
        <v>0.72727272727272729</v>
      </c>
      <c r="F25" s="4">
        <v>1086</v>
      </c>
      <c r="G25" s="4">
        <v>1315</v>
      </c>
      <c r="H25" s="5">
        <f t="shared" si="1"/>
        <v>0.82585551330798479</v>
      </c>
      <c r="I25" s="6">
        <f t="shared" si="2"/>
        <v>-9.8582786035257497E-2</v>
      </c>
      <c r="J25" s="4" t="str">
        <f t="shared" si="3"/>
        <v>OK</v>
      </c>
    </row>
    <row r="26" spans="1:10" x14ac:dyDescent="0.3">
      <c r="A26" s="4" t="s">
        <v>21</v>
      </c>
      <c r="B26" s="4" t="s">
        <v>13</v>
      </c>
      <c r="C26" s="4">
        <v>13</v>
      </c>
      <c r="D26" s="4">
        <v>29</v>
      </c>
      <c r="E26" s="5">
        <f t="shared" si="0"/>
        <v>0.44827586206896552</v>
      </c>
      <c r="F26" s="4">
        <v>756</v>
      </c>
      <c r="G26" s="4">
        <v>1153</v>
      </c>
      <c r="H26" s="5">
        <f t="shared" si="1"/>
        <v>0.65568083261058108</v>
      </c>
      <c r="I26" s="6">
        <f t="shared" si="2"/>
        <v>-0.20740497054161555</v>
      </c>
      <c r="J26" s="4" t="str">
        <f t="shared" si="3"/>
        <v>OK</v>
      </c>
    </row>
    <row r="27" spans="1:10" x14ac:dyDescent="0.3">
      <c r="A27" s="4" t="s">
        <v>21</v>
      </c>
      <c r="B27" s="4" t="s">
        <v>14</v>
      </c>
      <c r="C27" s="4">
        <v>64</v>
      </c>
      <c r="D27" s="4">
        <v>66</v>
      </c>
      <c r="E27" s="5">
        <f t="shared" si="0"/>
        <v>0.96969696969696972</v>
      </c>
      <c r="F27" s="4">
        <v>1238</v>
      </c>
      <c r="G27" s="4">
        <v>1315</v>
      </c>
      <c r="H27" s="5">
        <f t="shared" si="1"/>
        <v>0.94144486692015206</v>
      </c>
      <c r="I27" s="6">
        <f t="shared" si="2"/>
        <v>2.8252102776817667E-2</v>
      </c>
      <c r="J27" s="4" t="str">
        <f t="shared" si="3"/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abSelected="1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9" customWidth="1"/>
    <col min="3" max="4" width="7" customWidth="1"/>
    <col min="5" max="5" width="9" customWidth="1"/>
    <col min="6" max="7" width="7" customWidth="1"/>
    <col min="8" max="8" width="9" customWidth="1"/>
    <col min="9" max="10" width="7" customWidth="1"/>
    <col min="11" max="11" width="9" customWidth="1"/>
    <col min="12" max="12" width="10" customWidth="1"/>
    <col min="13" max="13" width="8" customWidth="1"/>
  </cols>
  <sheetData>
    <row r="1" spans="1:13" ht="15.6" x14ac:dyDescent="0.3">
      <c r="A1" s="1" t="s">
        <v>22</v>
      </c>
    </row>
    <row r="3" spans="1:13" x14ac:dyDescent="0.3">
      <c r="A3" s="2" t="s">
        <v>1</v>
      </c>
      <c r="B3" s="2" t="s">
        <v>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 x14ac:dyDescent="0.3">
      <c r="A4" s="3" t="s">
        <v>11</v>
      </c>
      <c r="B4" s="4" t="s">
        <v>12</v>
      </c>
      <c r="C4" s="4">
        <v>375</v>
      </c>
      <c r="D4" s="4">
        <v>534</v>
      </c>
      <c r="E4" s="5">
        <f t="shared" ref="E4:E27" si="0">IF(D4=0,"",C4/D4)</f>
        <v>0.702247191011236</v>
      </c>
      <c r="F4" s="4">
        <v>1612</v>
      </c>
      <c r="G4" s="4">
        <v>2228</v>
      </c>
      <c r="H4" s="5">
        <f t="shared" ref="H4:H27" si="1">IF(G4=0,"",F4/G4)</f>
        <v>0.72351885098743263</v>
      </c>
      <c r="I4" s="4">
        <v>152</v>
      </c>
      <c r="J4" s="4">
        <v>220</v>
      </c>
      <c r="K4" s="5">
        <f t="shared" ref="K4:K27" si="2">IF(J4=0,"",I4/J4)</f>
        <v>0.69090909090909092</v>
      </c>
      <c r="L4" s="6">
        <f t="shared" ref="L4:L27" si="3">IF(OR(D4=0,J4=0),"",K4-E4)</f>
        <v>-1.1338100102145088E-2</v>
      </c>
      <c r="M4" s="4">
        <f t="shared" ref="M4:M27" si="4">MIN(D4,G4,J4)</f>
        <v>220</v>
      </c>
    </row>
    <row r="5" spans="1:13" x14ac:dyDescent="0.3">
      <c r="A5" s="4" t="s">
        <v>11</v>
      </c>
      <c r="B5" s="4" t="s">
        <v>13</v>
      </c>
      <c r="C5" s="4">
        <v>301</v>
      </c>
      <c r="D5" s="4">
        <v>430</v>
      </c>
      <c r="E5" s="5">
        <f t="shared" si="0"/>
        <v>0.7</v>
      </c>
      <c r="F5" s="4">
        <v>1205</v>
      </c>
      <c r="G5" s="4">
        <v>1721</v>
      </c>
      <c r="H5" s="5">
        <f t="shared" si="1"/>
        <v>0.70017431725740853</v>
      </c>
      <c r="I5" s="4">
        <v>118</v>
      </c>
      <c r="J5" s="4">
        <v>174</v>
      </c>
      <c r="K5" s="5">
        <f t="shared" si="2"/>
        <v>0.67816091954022983</v>
      </c>
      <c r="L5" s="6">
        <f t="shared" si="3"/>
        <v>-2.1839080459770122E-2</v>
      </c>
      <c r="M5" s="4">
        <f t="shared" si="4"/>
        <v>174</v>
      </c>
    </row>
    <row r="6" spans="1:13" x14ac:dyDescent="0.3">
      <c r="A6" s="4" t="s">
        <v>11</v>
      </c>
      <c r="B6" s="4" t="s">
        <v>14</v>
      </c>
      <c r="C6" s="4">
        <v>345</v>
      </c>
      <c r="D6" s="4">
        <v>534</v>
      </c>
      <c r="E6" s="5">
        <f t="shared" si="0"/>
        <v>0.6460674157303371</v>
      </c>
      <c r="F6" s="4">
        <v>1562</v>
      </c>
      <c r="G6" s="4">
        <v>2228</v>
      </c>
      <c r="H6" s="5">
        <f t="shared" si="1"/>
        <v>0.70107719928186718</v>
      </c>
      <c r="I6" s="4">
        <v>162</v>
      </c>
      <c r="J6" s="4">
        <v>220</v>
      </c>
      <c r="K6" s="5">
        <f t="shared" si="2"/>
        <v>0.73636363636363633</v>
      </c>
      <c r="L6" s="6">
        <f t="shared" si="3"/>
        <v>9.0296220633299229E-2</v>
      </c>
      <c r="M6" s="4">
        <f t="shared" si="4"/>
        <v>220</v>
      </c>
    </row>
    <row r="7" spans="1:13" x14ac:dyDescent="0.3">
      <c r="A7" s="3" t="s">
        <v>15</v>
      </c>
      <c r="B7" s="4" t="s">
        <v>12</v>
      </c>
      <c r="C7" s="4">
        <v>405</v>
      </c>
      <c r="D7" s="4">
        <v>607</v>
      </c>
      <c r="E7" s="5">
        <f t="shared" si="0"/>
        <v>0.66721581548599673</v>
      </c>
      <c r="F7" s="4">
        <v>1508</v>
      </c>
      <c r="G7" s="4">
        <v>2243</v>
      </c>
      <c r="H7" s="5">
        <f t="shared" si="1"/>
        <v>0.67231386535889437</v>
      </c>
      <c r="I7" s="4">
        <v>1311</v>
      </c>
      <c r="J7" s="4">
        <v>1979</v>
      </c>
      <c r="K7" s="5">
        <f t="shared" si="2"/>
        <v>0.662455785750379</v>
      </c>
      <c r="L7" s="6">
        <f t="shared" si="3"/>
        <v>-4.7600297356177323E-3</v>
      </c>
      <c r="M7" s="4">
        <f t="shared" si="4"/>
        <v>607</v>
      </c>
    </row>
    <row r="8" spans="1:13" x14ac:dyDescent="0.3">
      <c r="A8" s="4" t="s">
        <v>15</v>
      </c>
      <c r="B8" s="4" t="s">
        <v>13</v>
      </c>
      <c r="C8" s="4">
        <v>314</v>
      </c>
      <c r="D8" s="4">
        <v>457</v>
      </c>
      <c r="E8" s="5">
        <f t="shared" si="0"/>
        <v>0.68708971553610498</v>
      </c>
      <c r="F8" s="4">
        <v>981</v>
      </c>
      <c r="G8" s="4">
        <v>1446</v>
      </c>
      <c r="H8" s="5">
        <f t="shared" si="1"/>
        <v>0.67842323651452285</v>
      </c>
      <c r="I8" s="4">
        <v>920</v>
      </c>
      <c r="J8" s="4">
        <v>1371</v>
      </c>
      <c r="K8" s="5">
        <f t="shared" si="2"/>
        <v>0.67104303428154632</v>
      </c>
      <c r="L8" s="6">
        <f t="shared" si="3"/>
        <v>-1.6046681254558659E-2</v>
      </c>
      <c r="M8" s="4">
        <f t="shared" si="4"/>
        <v>457</v>
      </c>
    </row>
    <row r="9" spans="1:13" x14ac:dyDescent="0.3">
      <c r="A9" s="4" t="s">
        <v>15</v>
      </c>
      <c r="B9" s="4" t="s">
        <v>14</v>
      </c>
      <c r="C9" s="4">
        <v>406</v>
      </c>
      <c r="D9" s="4">
        <v>607</v>
      </c>
      <c r="E9" s="5">
        <f t="shared" si="0"/>
        <v>0.66886326194398682</v>
      </c>
      <c r="F9" s="4">
        <v>1601</v>
      </c>
      <c r="G9" s="4">
        <v>2243</v>
      </c>
      <c r="H9" s="5">
        <f t="shared" si="1"/>
        <v>0.71377619259919756</v>
      </c>
      <c r="I9" s="4">
        <v>1580</v>
      </c>
      <c r="J9" s="4">
        <v>1979</v>
      </c>
      <c r="K9" s="5">
        <f t="shared" si="2"/>
        <v>0.79838302172814557</v>
      </c>
      <c r="L9" s="6">
        <f t="shared" si="3"/>
        <v>0.12951975978415875</v>
      </c>
      <c r="M9" s="4">
        <f t="shared" si="4"/>
        <v>607</v>
      </c>
    </row>
    <row r="10" spans="1:13" x14ac:dyDescent="0.3">
      <c r="A10" s="3" t="s">
        <v>16</v>
      </c>
      <c r="B10" s="4" t="s">
        <v>12</v>
      </c>
      <c r="C10" s="4">
        <v>366</v>
      </c>
      <c r="D10" s="4">
        <v>477</v>
      </c>
      <c r="E10" s="5">
        <f t="shared" si="0"/>
        <v>0.76729559748427678</v>
      </c>
      <c r="F10" s="4">
        <v>5237</v>
      </c>
      <c r="G10" s="4">
        <v>6659</v>
      </c>
      <c r="H10" s="5">
        <f t="shared" si="1"/>
        <v>0.78645442258597387</v>
      </c>
      <c r="I10" s="4">
        <v>2985</v>
      </c>
      <c r="J10" s="4">
        <v>3972</v>
      </c>
      <c r="K10" s="5">
        <f t="shared" si="2"/>
        <v>0.75151057401812693</v>
      </c>
      <c r="L10" s="6">
        <f t="shared" si="3"/>
        <v>-1.578502346614985E-2</v>
      </c>
      <c r="M10" s="4">
        <f t="shared" si="4"/>
        <v>477</v>
      </c>
    </row>
    <row r="11" spans="1:13" x14ac:dyDescent="0.3">
      <c r="A11" s="4" t="s">
        <v>16</v>
      </c>
      <c r="B11" s="4" t="s">
        <v>13</v>
      </c>
      <c r="C11" s="4">
        <v>237</v>
      </c>
      <c r="D11" s="4">
        <v>391</v>
      </c>
      <c r="E11" s="5">
        <f t="shared" si="0"/>
        <v>0.60613810741687979</v>
      </c>
      <c r="F11" s="4">
        <v>3255</v>
      </c>
      <c r="G11" s="4">
        <v>5023</v>
      </c>
      <c r="H11" s="5">
        <f t="shared" si="1"/>
        <v>0.64801911208441165</v>
      </c>
      <c r="I11" s="4">
        <v>1951</v>
      </c>
      <c r="J11" s="4">
        <v>3090</v>
      </c>
      <c r="K11" s="5">
        <f t="shared" si="2"/>
        <v>0.63139158576051779</v>
      </c>
      <c r="L11" s="6">
        <f t="shared" si="3"/>
        <v>2.5253478343638003E-2</v>
      </c>
      <c r="M11" s="4">
        <f t="shared" si="4"/>
        <v>391</v>
      </c>
    </row>
    <row r="12" spans="1:13" x14ac:dyDescent="0.3">
      <c r="A12" s="4" t="s">
        <v>16</v>
      </c>
      <c r="B12" s="4" t="s">
        <v>14</v>
      </c>
      <c r="C12" s="4">
        <v>311</v>
      </c>
      <c r="D12" s="4">
        <v>477</v>
      </c>
      <c r="E12" s="5">
        <f t="shared" si="0"/>
        <v>0.65199161425576524</v>
      </c>
      <c r="F12" s="4">
        <v>4651</v>
      </c>
      <c r="G12" s="4">
        <v>6659</v>
      </c>
      <c r="H12" s="5">
        <f t="shared" si="1"/>
        <v>0.69845322120438502</v>
      </c>
      <c r="I12" s="4">
        <v>3104</v>
      </c>
      <c r="J12" s="4">
        <v>3972</v>
      </c>
      <c r="K12" s="5">
        <f t="shared" si="2"/>
        <v>0.78147029204431018</v>
      </c>
      <c r="L12" s="6">
        <f t="shared" si="3"/>
        <v>0.12947867778854494</v>
      </c>
      <c r="M12" s="4">
        <f t="shared" si="4"/>
        <v>477</v>
      </c>
    </row>
    <row r="13" spans="1:13" x14ac:dyDescent="0.3">
      <c r="A13" s="3" t="s">
        <v>17</v>
      </c>
      <c r="B13" s="4" t="s">
        <v>12</v>
      </c>
      <c r="C13" s="4">
        <v>0</v>
      </c>
      <c r="D13" s="4">
        <v>0</v>
      </c>
      <c r="E13" s="5" t="str">
        <f t="shared" si="0"/>
        <v/>
      </c>
      <c r="F13" s="4">
        <v>16</v>
      </c>
      <c r="G13" s="4">
        <v>23</v>
      </c>
      <c r="H13" s="5">
        <f t="shared" si="1"/>
        <v>0.69565217391304346</v>
      </c>
      <c r="I13" s="4">
        <v>1470</v>
      </c>
      <c r="J13" s="4">
        <v>2050</v>
      </c>
      <c r="K13" s="5">
        <f t="shared" si="2"/>
        <v>0.71707317073170729</v>
      </c>
      <c r="L13" s="6" t="str">
        <f t="shared" si="3"/>
        <v/>
      </c>
      <c r="M13" s="4">
        <f t="shared" si="4"/>
        <v>0</v>
      </c>
    </row>
    <row r="14" spans="1:13" x14ac:dyDescent="0.3">
      <c r="A14" s="4" t="s">
        <v>17</v>
      </c>
      <c r="B14" s="4" t="s">
        <v>13</v>
      </c>
      <c r="C14" s="4">
        <v>0</v>
      </c>
      <c r="D14" s="4">
        <v>0</v>
      </c>
      <c r="E14" s="5" t="str">
        <f t="shared" si="0"/>
        <v/>
      </c>
      <c r="F14" s="4">
        <v>3</v>
      </c>
      <c r="G14" s="4">
        <v>14</v>
      </c>
      <c r="H14" s="5">
        <f t="shared" si="1"/>
        <v>0.21428571428571427</v>
      </c>
      <c r="I14" s="4">
        <v>802</v>
      </c>
      <c r="J14" s="4">
        <v>1410</v>
      </c>
      <c r="K14" s="5">
        <f t="shared" si="2"/>
        <v>0.5687943262411348</v>
      </c>
      <c r="L14" s="6" t="str">
        <f t="shared" si="3"/>
        <v/>
      </c>
      <c r="M14" s="4">
        <f t="shared" si="4"/>
        <v>0</v>
      </c>
    </row>
    <row r="15" spans="1:13" x14ac:dyDescent="0.3">
      <c r="A15" s="4" t="s">
        <v>17</v>
      </c>
      <c r="B15" s="4" t="s">
        <v>14</v>
      </c>
      <c r="C15" s="4">
        <v>0</v>
      </c>
      <c r="D15" s="4">
        <v>0</v>
      </c>
      <c r="E15" s="5" t="str">
        <f t="shared" si="0"/>
        <v/>
      </c>
      <c r="F15" s="4">
        <v>17</v>
      </c>
      <c r="G15" s="4">
        <v>23</v>
      </c>
      <c r="H15" s="5">
        <f t="shared" si="1"/>
        <v>0.73913043478260865</v>
      </c>
      <c r="I15" s="4">
        <v>1672</v>
      </c>
      <c r="J15" s="4">
        <v>2050</v>
      </c>
      <c r="K15" s="5">
        <f t="shared" si="2"/>
        <v>0.81560975609756092</v>
      </c>
      <c r="L15" s="6" t="str">
        <f t="shared" si="3"/>
        <v/>
      </c>
      <c r="M15" s="4">
        <f t="shared" si="4"/>
        <v>0</v>
      </c>
    </row>
    <row r="16" spans="1:13" x14ac:dyDescent="0.3">
      <c r="A16" s="3" t="s">
        <v>18</v>
      </c>
      <c r="B16" s="4" t="s">
        <v>12</v>
      </c>
      <c r="C16" s="4">
        <v>22</v>
      </c>
      <c r="D16" s="4">
        <v>24</v>
      </c>
      <c r="E16" s="5">
        <f t="shared" si="0"/>
        <v>0.91666666666666663</v>
      </c>
      <c r="F16" s="4">
        <v>314</v>
      </c>
      <c r="G16" s="4">
        <v>374</v>
      </c>
      <c r="H16" s="5">
        <f t="shared" si="1"/>
        <v>0.83957219251336901</v>
      </c>
      <c r="I16" s="4">
        <v>2255</v>
      </c>
      <c r="J16" s="4">
        <v>2803</v>
      </c>
      <c r="K16" s="5">
        <f t="shared" si="2"/>
        <v>0.80449518373171602</v>
      </c>
      <c r="L16" s="6">
        <f t="shared" si="3"/>
        <v>-0.11217148293495061</v>
      </c>
      <c r="M16" s="4">
        <f t="shared" si="4"/>
        <v>24</v>
      </c>
    </row>
    <row r="17" spans="1:13" x14ac:dyDescent="0.3">
      <c r="A17" s="4" t="s">
        <v>18</v>
      </c>
      <c r="B17" s="4" t="s">
        <v>13</v>
      </c>
      <c r="C17" s="4">
        <v>14</v>
      </c>
      <c r="D17" s="4">
        <v>21</v>
      </c>
      <c r="E17" s="5">
        <f t="shared" si="0"/>
        <v>0.66666666666666663</v>
      </c>
      <c r="F17" s="4">
        <v>258</v>
      </c>
      <c r="G17" s="4">
        <v>360</v>
      </c>
      <c r="H17" s="5">
        <f t="shared" si="1"/>
        <v>0.71666666666666667</v>
      </c>
      <c r="I17" s="4">
        <v>1583</v>
      </c>
      <c r="J17" s="4">
        <v>2411</v>
      </c>
      <c r="K17" s="5">
        <f t="shared" si="2"/>
        <v>0.65657403566984651</v>
      </c>
      <c r="L17" s="6">
        <f t="shared" si="3"/>
        <v>-1.0092630996820118E-2</v>
      </c>
      <c r="M17" s="4">
        <f t="shared" si="4"/>
        <v>21</v>
      </c>
    </row>
    <row r="18" spans="1:13" x14ac:dyDescent="0.3">
      <c r="A18" s="4" t="s">
        <v>18</v>
      </c>
      <c r="B18" s="4" t="s">
        <v>14</v>
      </c>
      <c r="C18" s="4">
        <v>13</v>
      </c>
      <c r="D18" s="4">
        <v>24</v>
      </c>
      <c r="E18" s="5">
        <f t="shared" si="0"/>
        <v>0.54166666666666663</v>
      </c>
      <c r="F18" s="4">
        <v>267</v>
      </c>
      <c r="G18" s="4">
        <v>374</v>
      </c>
      <c r="H18" s="5">
        <f t="shared" si="1"/>
        <v>0.71390374331550799</v>
      </c>
      <c r="I18" s="4">
        <v>2278</v>
      </c>
      <c r="J18" s="4">
        <v>2803</v>
      </c>
      <c r="K18" s="5">
        <f t="shared" si="2"/>
        <v>0.81270067784516586</v>
      </c>
      <c r="L18" s="6">
        <f t="shared" si="3"/>
        <v>0.27103401117849923</v>
      </c>
      <c r="M18" s="4">
        <f t="shared" si="4"/>
        <v>24</v>
      </c>
    </row>
    <row r="19" spans="1:13" x14ac:dyDescent="0.3">
      <c r="A19" s="3" t="s">
        <v>19</v>
      </c>
      <c r="B19" s="4" t="s">
        <v>12</v>
      </c>
      <c r="C19" s="4">
        <v>0</v>
      </c>
      <c r="D19" s="4">
        <v>0</v>
      </c>
      <c r="E19" s="5" t="str">
        <f t="shared" si="0"/>
        <v/>
      </c>
      <c r="F19" s="4">
        <v>0</v>
      </c>
      <c r="G19" s="4">
        <v>0</v>
      </c>
      <c r="H19" s="5" t="str">
        <f t="shared" si="1"/>
        <v/>
      </c>
      <c r="I19" s="4">
        <v>573</v>
      </c>
      <c r="J19" s="4">
        <v>805</v>
      </c>
      <c r="K19" s="5">
        <f t="shared" si="2"/>
        <v>0.71180124223602481</v>
      </c>
      <c r="L19" s="6" t="str">
        <f t="shared" si="3"/>
        <v/>
      </c>
      <c r="M19" s="4">
        <f t="shared" si="4"/>
        <v>0</v>
      </c>
    </row>
    <row r="20" spans="1:13" x14ac:dyDescent="0.3">
      <c r="A20" s="4" t="s">
        <v>19</v>
      </c>
      <c r="B20" s="4" t="s">
        <v>13</v>
      </c>
      <c r="C20" s="4">
        <v>0</v>
      </c>
      <c r="D20" s="4">
        <v>0</v>
      </c>
      <c r="E20" s="5" t="str">
        <f t="shared" si="0"/>
        <v/>
      </c>
      <c r="F20" s="4">
        <v>0</v>
      </c>
      <c r="G20" s="4">
        <v>0</v>
      </c>
      <c r="H20" s="5" t="str">
        <f t="shared" si="1"/>
        <v/>
      </c>
      <c r="I20" s="4">
        <v>315</v>
      </c>
      <c r="J20" s="4">
        <v>568</v>
      </c>
      <c r="K20" s="5">
        <f t="shared" si="2"/>
        <v>0.55457746478873238</v>
      </c>
      <c r="L20" s="6" t="str">
        <f t="shared" si="3"/>
        <v/>
      </c>
      <c r="M20" s="4">
        <f t="shared" si="4"/>
        <v>0</v>
      </c>
    </row>
    <row r="21" spans="1:13" x14ac:dyDescent="0.3">
      <c r="A21" s="4" t="s">
        <v>19</v>
      </c>
      <c r="B21" s="4" t="s">
        <v>14</v>
      </c>
      <c r="C21" s="4">
        <v>0</v>
      </c>
      <c r="D21" s="4">
        <v>0</v>
      </c>
      <c r="E21" s="5" t="str">
        <f t="shared" si="0"/>
        <v/>
      </c>
      <c r="F21" s="4">
        <v>0</v>
      </c>
      <c r="G21" s="4">
        <v>0</v>
      </c>
      <c r="H21" s="5" t="str">
        <f t="shared" si="1"/>
        <v/>
      </c>
      <c r="I21" s="4">
        <v>712</v>
      </c>
      <c r="J21" s="4">
        <v>805</v>
      </c>
      <c r="K21" s="5">
        <f t="shared" si="2"/>
        <v>0.88447204968944104</v>
      </c>
      <c r="L21" s="6" t="str">
        <f t="shared" si="3"/>
        <v/>
      </c>
      <c r="M21" s="4">
        <f t="shared" si="4"/>
        <v>0</v>
      </c>
    </row>
    <row r="22" spans="1:13" x14ac:dyDescent="0.3">
      <c r="A22" s="3" t="s">
        <v>20</v>
      </c>
      <c r="B22" s="4" t="s">
        <v>12</v>
      </c>
      <c r="C22" s="4">
        <v>0</v>
      </c>
      <c r="D22" s="4">
        <v>0</v>
      </c>
      <c r="E22" s="5" t="str">
        <f t="shared" si="0"/>
        <v/>
      </c>
      <c r="F22" s="4">
        <v>5</v>
      </c>
      <c r="G22" s="4">
        <v>7</v>
      </c>
      <c r="H22" s="5">
        <f t="shared" si="1"/>
        <v>0.7142857142857143</v>
      </c>
      <c r="I22" s="4">
        <v>2077</v>
      </c>
      <c r="J22" s="4">
        <v>2460</v>
      </c>
      <c r="K22" s="5">
        <f t="shared" si="2"/>
        <v>0.84430894308943094</v>
      </c>
      <c r="L22" s="6" t="str">
        <f t="shared" si="3"/>
        <v/>
      </c>
      <c r="M22" s="4">
        <f t="shared" si="4"/>
        <v>0</v>
      </c>
    </row>
    <row r="23" spans="1:13" x14ac:dyDescent="0.3">
      <c r="A23" s="4" t="s">
        <v>20</v>
      </c>
      <c r="B23" s="4" t="s">
        <v>13</v>
      </c>
      <c r="C23" s="4">
        <v>0</v>
      </c>
      <c r="D23" s="4">
        <v>0</v>
      </c>
      <c r="E23" s="5" t="str">
        <f t="shared" si="0"/>
        <v/>
      </c>
      <c r="F23" s="4">
        <v>5</v>
      </c>
      <c r="G23" s="4">
        <v>7</v>
      </c>
      <c r="H23" s="5">
        <f t="shared" si="1"/>
        <v>0.7142857142857143</v>
      </c>
      <c r="I23" s="4">
        <v>1591</v>
      </c>
      <c r="J23" s="4">
        <v>2306</v>
      </c>
      <c r="K23" s="5">
        <f t="shared" si="2"/>
        <v>0.68993928881179534</v>
      </c>
      <c r="L23" s="6" t="str">
        <f t="shared" si="3"/>
        <v/>
      </c>
      <c r="M23" s="4">
        <f t="shared" si="4"/>
        <v>0</v>
      </c>
    </row>
    <row r="24" spans="1:13" x14ac:dyDescent="0.3">
      <c r="A24" s="4" t="s">
        <v>20</v>
      </c>
      <c r="B24" s="4" t="s">
        <v>14</v>
      </c>
      <c r="C24" s="4">
        <v>0</v>
      </c>
      <c r="D24" s="4">
        <v>0</v>
      </c>
      <c r="E24" s="5" t="str">
        <f t="shared" si="0"/>
        <v/>
      </c>
      <c r="F24" s="4">
        <v>4</v>
      </c>
      <c r="G24" s="4">
        <v>7</v>
      </c>
      <c r="H24" s="5">
        <f t="shared" si="1"/>
        <v>0.5714285714285714</v>
      </c>
      <c r="I24" s="4">
        <v>2171</v>
      </c>
      <c r="J24" s="4">
        <v>2460</v>
      </c>
      <c r="K24" s="5">
        <f t="shared" si="2"/>
        <v>0.88252032520325208</v>
      </c>
      <c r="L24" s="6" t="str">
        <f t="shared" si="3"/>
        <v/>
      </c>
      <c r="M24" s="4">
        <f t="shared" si="4"/>
        <v>0</v>
      </c>
    </row>
    <row r="25" spans="1:13" x14ac:dyDescent="0.3">
      <c r="A25" s="3" t="s">
        <v>21</v>
      </c>
      <c r="B25" s="4" t="s">
        <v>12</v>
      </c>
      <c r="C25" s="4">
        <v>0</v>
      </c>
      <c r="D25" s="4">
        <v>0</v>
      </c>
      <c r="E25" s="5" t="str">
        <f t="shared" si="0"/>
        <v/>
      </c>
      <c r="F25" s="4">
        <v>0</v>
      </c>
      <c r="G25" s="4">
        <v>0</v>
      </c>
      <c r="H25" s="5" t="str">
        <f t="shared" si="1"/>
        <v/>
      </c>
      <c r="I25" s="4">
        <v>1134</v>
      </c>
      <c r="J25" s="4">
        <v>1381</v>
      </c>
      <c r="K25" s="5">
        <f t="shared" si="2"/>
        <v>0.82114409847936276</v>
      </c>
      <c r="L25" s="6" t="str">
        <f t="shared" si="3"/>
        <v/>
      </c>
      <c r="M25" s="4">
        <f t="shared" si="4"/>
        <v>0</v>
      </c>
    </row>
    <row r="26" spans="1:13" x14ac:dyDescent="0.3">
      <c r="A26" s="4" t="s">
        <v>21</v>
      </c>
      <c r="B26" s="4" t="s">
        <v>13</v>
      </c>
      <c r="C26" s="4">
        <v>0</v>
      </c>
      <c r="D26" s="4">
        <v>0</v>
      </c>
      <c r="E26" s="5" t="str">
        <f t="shared" si="0"/>
        <v/>
      </c>
      <c r="F26" s="4">
        <v>0</v>
      </c>
      <c r="G26" s="4">
        <v>0</v>
      </c>
      <c r="H26" s="5" t="str">
        <f t="shared" si="1"/>
        <v/>
      </c>
      <c r="I26" s="4">
        <v>769</v>
      </c>
      <c r="J26" s="4">
        <v>1182</v>
      </c>
      <c r="K26" s="5">
        <f t="shared" si="2"/>
        <v>0.65059221658206434</v>
      </c>
      <c r="L26" s="6" t="str">
        <f t="shared" si="3"/>
        <v/>
      </c>
      <c r="M26" s="4">
        <f t="shared" si="4"/>
        <v>0</v>
      </c>
    </row>
    <row r="27" spans="1:13" x14ac:dyDescent="0.3">
      <c r="A27" s="4" t="s">
        <v>21</v>
      </c>
      <c r="B27" s="4" t="s">
        <v>14</v>
      </c>
      <c r="C27" s="4">
        <v>0</v>
      </c>
      <c r="D27" s="4">
        <v>0</v>
      </c>
      <c r="E27" s="5" t="str">
        <f t="shared" si="0"/>
        <v/>
      </c>
      <c r="F27" s="4">
        <v>0</v>
      </c>
      <c r="G27" s="4">
        <v>0</v>
      </c>
      <c r="H27" s="5" t="str">
        <f t="shared" si="1"/>
        <v/>
      </c>
      <c r="I27" s="4">
        <v>1302</v>
      </c>
      <c r="J27" s="4">
        <v>1381</v>
      </c>
      <c r="K27" s="5">
        <f t="shared" si="2"/>
        <v>0.94279507603186097</v>
      </c>
      <c r="L27" s="6" t="str">
        <f t="shared" si="3"/>
        <v/>
      </c>
      <c r="M27" s="4">
        <f t="shared" si="4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11" customWidth="1"/>
    <col min="3" max="4" width="8" customWidth="1"/>
    <col min="5" max="7" width="9" customWidth="1"/>
    <col min="8" max="8" width="10" customWidth="1"/>
    <col min="9" max="10" width="8" customWidth="1"/>
    <col min="11" max="11" width="9" customWidth="1"/>
  </cols>
  <sheetData>
    <row r="1" spans="1:11" ht="15.6" x14ac:dyDescent="0.3">
      <c r="A1" s="1" t="s">
        <v>34</v>
      </c>
    </row>
    <row r="3" spans="1:11" x14ac:dyDescent="0.3">
      <c r="A3" s="2" t="s">
        <v>1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43</v>
      </c>
      <c r="K3" s="2" t="s">
        <v>44</v>
      </c>
    </row>
    <row r="4" spans="1:11" x14ac:dyDescent="0.3">
      <c r="A4" s="3" t="s">
        <v>11</v>
      </c>
      <c r="B4" s="4" t="s">
        <v>45</v>
      </c>
      <c r="C4" s="4">
        <v>2139</v>
      </c>
      <c r="D4" s="4">
        <v>2982</v>
      </c>
      <c r="E4" s="5">
        <f t="shared" ref="E4:E11" si="0">IF(D4=0,"",C4/D4)</f>
        <v>0.71730382293762573</v>
      </c>
      <c r="F4" s="4">
        <v>1624</v>
      </c>
      <c r="G4" s="4">
        <v>2325</v>
      </c>
      <c r="H4" s="5">
        <f t="shared" ref="H4:H11" si="1">IF(G4=0,"",F4/G4)</f>
        <v>0.69849462365591397</v>
      </c>
      <c r="I4" s="4">
        <v>2069</v>
      </c>
      <c r="J4" s="4">
        <v>2982</v>
      </c>
      <c r="K4" s="5">
        <f t="shared" ref="K4:K11" si="2">IF(J4=0,"",I4/J4)</f>
        <v>0.69382964453386986</v>
      </c>
    </row>
    <row r="5" spans="1:11" x14ac:dyDescent="0.3">
      <c r="A5" s="3" t="s">
        <v>15</v>
      </c>
      <c r="B5" s="4" t="s">
        <v>45</v>
      </c>
      <c r="C5" s="4">
        <v>3224</v>
      </c>
      <c r="D5" s="4">
        <v>4829</v>
      </c>
      <c r="E5" s="5">
        <f t="shared" si="0"/>
        <v>0.66763305032097742</v>
      </c>
      <c r="F5" s="4">
        <v>2215</v>
      </c>
      <c r="G5" s="4">
        <v>3274</v>
      </c>
      <c r="H5" s="5">
        <f t="shared" si="1"/>
        <v>0.67654245571166771</v>
      </c>
      <c r="I5" s="4">
        <v>3587</v>
      </c>
      <c r="J5" s="4">
        <v>4829</v>
      </c>
      <c r="K5" s="5">
        <f t="shared" si="2"/>
        <v>0.74280389314557882</v>
      </c>
    </row>
    <row r="6" spans="1:11" x14ac:dyDescent="0.3">
      <c r="A6" s="3" t="s">
        <v>16</v>
      </c>
      <c r="B6" s="4" t="s">
        <v>46</v>
      </c>
      <c r="C6" s="4">
        <v>8588</v>
      </c>
      <c r="D6" s="4">
        <v>11108</v>
      </c>
      <c r="E6" s="5">
        <f t="shared" si="0"/>
        <v>0.77313647821389986</v>
      </c>
      <c r="F6" s="4">
        <v>5443</v>
      </c>
      <c r="G6" s="4">
        <v>8504</v>
      </c>
      <c r="H6" s="5">
        <f t="shared" si="1"/>
        <v>0.6400517403574788</v>
      </c>
      <c r="I6" s="4">
        <v>8066</v>
      </c>
      <c r="J6" s="4">
        <v>11108</v>
      </c>
      <c r="K6" s="5">
        <f t="shared" si="2"/>
        <v>0.72614332012963634</v>
      </c>
    </row>
    <row r="7" spans="1:11" x14ac:dyDescent="0.3">
      <c r="A7" s="3" t="s">
        <v>17</v>
      </c>
      <c r="B7" s="4" t="s">
        <v>46</v>
      </c>
      <c r="C7" s="4">
        <v>1486</v>
      </c>
      <c r="D7" s="4">
        <v>2073</v>
      </c>
      <c r="E7" s="5">
        <f t="shared" si="0"/>
        <v>0.71683550410033769</v>
      </c>
      <c r="F7" s="4">
        <v>805</v>
      </c>
      <c r="G7" s="4">
        <v>1424</v>
      </c>
      <c r="H7" s="5">
        <f t="shared" si="1"/>
        <v>0.5653089887640449</v>
      </c>
      <c r="I7" s="4">
        <v>1689</v>
      </c>
      <c r="J7" s="4">
        <v>2073</v>
      </c>
      <c r="K7" s="5">
        <f t="shared" si="2"/>
        <v>0.81476121562952242</v>
      </c>
    </row>
    <row r="8" spans="1:11" x14ac:dyDescent="0.3">
      <c r="A8" s="3" t="s">
        <v>18</v>
      </c>
      <c r="B8" s="4" t="s">
        <v>46</v>
      </c>
      <c r="C8" s="4">
        <v>2591</v>
      </c>
      <c r="D8" s="4">
        <v>3201</v>
      </c>
      <c r="E8" s="5">
        <f t="shared" si="0"/>
        <v>0.80943455170259293</v>
      </c>
      <c r="F8" s="4">
        <v>1855</v>
      </c>
      <c r="G8" s="4">
        <v>2792</v>
      </c>
      <c r="H8" s="5">
        <f t="shared" si="1"/>
        <v>0.66439828080229224</v>
      </c>
      <c r="I8" s="4">
        <v>2558</v>
      </c>
      <c r="J8" s="4">
        <v>3201</v>
      </c>
      <c r="K8" s="5">
        <f t="shared" si="2"/>
        <v>0.7991252733520775</v>
      </c>
    </row>
    <row r="9" spans="1:11" x14ac:dyDescent="0.3">
      <c r="A9" s="3" t="s">
        <v>19</v>
      </c>
      <c r="B9" s="4" t="s">
        <v>46</v>
      </c>
      <c r="C9" s="4">
        <v>573</v>
      </c>
      <c r="D9" s="4">
        <v>805</v>
      </c>
      <c r="E9" s="5">
        <f t="shared" si="0"/>
        <v>0.71180124223602481</v>
      </c>
      <c r="F9" s="4">
        <v>315</v>
      </c>
      <c r="G9" s="4">
        <v>568</v>
      </c>
      <c r="H9" s="5">
        <f t="shared" si="1"/>
        <v>0.55457746478873238</v>
      </c>
      <c r="I9" s="4">
        <v>712</v>
      </c>
      <c r="J9" s="4">
        <v>805</v>
      </c>
      <c r="K9" s="5">
        <f t="shared" si="2"/>
        <v>0.88447204968944104</v>
      </c>
    </row>
    <row r="10" spans="1:11" x14ac:dyDescent="0.3">
      <c r="A10" s="3" t="s">
        <v>20</v>
      </c>
      <c r="B10" s="4" t="s">
        <v>46</v>
      </c>
      <c r="C10" s="4">
        <v>2082</v>
      </c>
      <c r="D10" s="4">
        <v>2467</v>
      </c>
      <c r="E10" s="5">
        <f t="shared" si="0"/>
        <v>0.84394000810701253</v>
      </c>
      <c r="F10" s="4">
        <v>1596</v>
      </c>
      <c r="G10" s="4">
        <v>2313</v>
      </c>
      <c r="H10" s="5">
        <f t="shared" si="1"/>
        <v>0.69001297016861218</v>
      </c>
      <c r="I10" s="4">
        <v>2175</v>
      </c>
      <c r="J10" s="4">
        <v>2467</v>
      </c>
      <c r="K10" s="5">
        <f t="shared" si="2"/>
        <v>0.88163761653830564</v>
      </c>
    </row>
    <row r="11" spans="1:11" x14ac:dyDescent="0.3">
      <c r="A11" s="3" t="s">
        <v>21</v>
      </c>
      <c r="B11" s="4" t="s">
        <v>46</v>
      </c>
      <c r="C11" s="4">
        <v>1134</v>
      </c>
      <c r="D11" s="4">
        <v>1381</v>
      </c>
      <c r="E11" s="5">
        <f t="shared" si="0"/>
        <v>0.82114409847936276</v>
      </c>
      <c r="F11" s="4">
        <v>769</v>
      </c>
      <c r="G11" s="4">
        <v>1182</v>
      </c>
      <c r="H11" s="5">
        <f t="shared" si="1"/>
        <v>0.65059221658206434</v>
      </c>
      <c r="I11" s="4">
        <v>1302</v>
      </c>
      <c r="J11" s="4">
        <v>1381</v>
      </c>
      <c r="K11" s="5">
        <f t="shared" si="2"/>
        <v>0.94279507603186097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3" width="8" customWidth="1"/>
    <col min="4" max="6" width="9" customWidth="1"/>
    <col min="7" max="7" width="10" customWidth="1"/>
    <col min="8" max="9" width="8" customWidth="1"/>
    <col min="10" max="10" width="9" customWidth="1"/>
  </cols>
  <sheetData>
    <row r="1" spans="1:10" ht="15.6" x14ac:dyDescent="0.3">
      <c r="A1" s="1" t="s">
        <v>47</v>
      </c>
    </row>
    <row r="3" spans="1:10" x14ac:dyDescent="0.3">
      <c r="A3" s="2" t="s">
        <v>48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44</v>
      </c>
    </row>
    <row r="4" spans="1:10" x14ac:dyDescent="0.3">
      <c r="A4" s="3" t="s">
        <v>49</v>
      </c>
      <c r="B4" s="4">
        <v>9613</v>
      </c>
      <c r="C4" s="4">
        <v>12572</v>
      </c>
      <c r="D4" s="5">
        <f>IF(C4=0,"",B4/C4)</f>
        <v>0.76463569837734646</v>
      </c>
      <c r="E4" s="4">
        <v>8139</v>
      </c>
      <c r="F4" s="4">
        <v>12552</v>
      </c>
      <c r="G4" s="5">
        <f>IF(F4=0,"",E4/F4)</f>
        <v>0.64842256214149141</v>
      </c>
      <c r="H4" s="4">
        <v>9931</v>
      </c>
      <c r="I4" s="4">
        <v>12572</v>
      </c>
      <c r="J4" s="5">
        <f>IF(I4=0,"",H4/I4)</f>
        <v>0.78993000318167361</v>
      </c>
    </row>
    <row r="5" spans="1:10" x14ac:dyDescent="0.3">
      <c r="A5" s="3" t="s">
        <v>50</v>
      </c>
      <c r="B5" s="4">
        <v>7265</v>
      </c>
      <c r="C5" s="4">
        <v>9598</v>
      </c>
      <c r="D5" s="5">
        <f>IF(C5=0,"",B5/C5)</f>
        <v>0.75692852677641176</v>
      </c>
      <c r="E5" s="4">
        <v>6295</v>
      </c>
      <c r="F5" s="4">
        <v>9542</v>
      </c>
      <c r="G5" s="5">
        <f>IF(F5=0,"",E5/F5)</f>
        <v>0.65971494445608891</v>
      </c>
      <c r="H5" s="4">
        <v>7222</v>
      </c>
      <c r="I5" s="4">
        <v>9598</v>
      </c>
      <c r="J5" s="5">
        <f>IF(I5=0,"",H5/I5)</f>
        <v>0.75244842675557411</v>
      </c>
    </row>
    <row r="6" spans="1:10" x14ac:dyDescent="0.3">
      <c r="A6" s="3" t="s">
        <v>51</v>
      </c>
      <c r="B6" s="4">
        <v>4939</v>
      </c>
      <c r="C6" s="4">
        <v>6676</v>
      </c>
      <c r="D6" s="5">
        <f>IF(C6=0,"",B6/C6)</f>
        <v>0.73981426003594963</v>
      </c>
      <c r="E6" s="4">
        <v>188</v>
      </c>
      <c r="F6" s="4">
        <v>288</v>
      </c>
      <c r="G6" s="5">
        <f>IF(F6=0,"",E6/F6)</f>
        <v>0.65277777777777779</v>
      </c>
      <c r="H6" s="4">
        <v>5005</v>
      </c>
      <c r="I6" s="4">
        <v>6676</v>
      </c>
      <c r="J6" s="5">
        <f>IF(I6=0,"",H6/I6)</f>
        <v>0.74970041941282206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6" customWidth="1"/>
    <col min="2" max="2" width="6" customWidth="1"/>
    <col min="3" max="4" width="8" customWidth="1"/>
    <col min="5" max="7" width="9" customWidth="1"/>
    <col min="8" max="8" width="10" customWidth="1"/>
    <col min="9" max="10" width="8" customWidth="1"/>
    <col min="11" max="11" width="9" customWidth="1"/>
  </cols>
  <sheetData>
    <row r="1" spans="1:11" ht="15.6" x14ac:dyDescent="0.3">
      <c r="A1" s="1" t="s">
        <v>52</v>
      </c>
    </row>
    <row r="3" spans="1:11" x14ac:dyDescent="0.3">
      <c r="A3" s="2" t="s">
        <v>1</v>
      </c>
      <c r="B3" s="2" t="s">
        <v>48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43</v>
      </c>
      <c r="K3" s="2" t="s">
        <v>44</v>
      </c>
    </row>
    <row r="4" spans="1:11" x14ac:dyDescent="0.3">
      <c r="A4" s="4" t="s">
        <v>11</v>
      </c>
      <c r="B4" s="4" t="s">
        <v>49</v>
      </c>
      <c r="C4" s="4">
        <v>795</v>
      </c>
      <c r="D4" s="4">
        <v>1120</v>
      </c>
      <c r="E4" s="5">
        <f t="shared" ref="E4:E27" si="0">IF(D4=0,"",C4/D4)</f>
        <v>0.7098214285714286</v>
      </c>
      <c r="F4" s="4">
        <v>782</v>
      </c>
      <c r="G4" s="4">
        <v>1120</v>
      </c>
      <c r="H4" s="5">
        <f t="shared" ref="H4:H27" si="1">IF(G4=0,"",F4/G4)</f>
        <v>0.69821428571428568</v>
      </c>
      <c r="I4" s="4">
        <v>791</v>
      </c>
      <c r="J4" s="4">
        <v>1120</v>
      </c>
      <c r="K4" s="5">
        <f t="shared" ref="K4:K27" si="2">IF(J4=0,"",I4/J4)</f>
        <v>0.70625000000000004</v>
      </c>
    </row>
    <row r="5" spans="1:11" x14ac:dyDescent="0.3">
      <c r="A5" s="4" t="s">
        <v>11</v>
      </c>
      <c r="B5" s="4" t="s">
        <v>50</v>
      </c>
      <c r="C5" s="4">
        <v>882</v>
      </c>
      <c r="D5" s="4">
        <v>1198</v>
      </c>
      <c r="E5" s="5">
        <f t="shared" si="0"/>
        <v>0.73622704507512526</v>
      </c>
      <c r="F5" s="4">
        <v>824</v>
      </c>
      <c r="G5" s="4">
        <v>1180</v>
      </c>
      <c r="H5" s="5">
        <f t="shared" si="1"/>
        <v>0.69830508474576269</v>
      </c>
      <c r="I5" s="4">
        <v>832</v>
      </c>
      <c r="J5" s="4">
        <v>1198</v>
      </c>
      <c r="K5" s="5">
        <f t="shared" si="2"/>
        <v>0.69449081803005008</v>
      </c>
    </row>
    <row r="6" spans="1:11" x14ac:dyDescent="0.3">
      <c r="A6" s="4" t="s">
        <v>11</v>
      </c>
      <c r="B6" s="4" t="s">
        <v>51</v>
      </c>
      <c r="C6" s="4">
        <v>462</v>
      </c>
      <c r="D6" s="4">
        <v>664</v>
      </c>
      <c r="E6" s="5">
        <f t="shared" si="0"/>
        <v>0.69578313253012047</v>
      </c>
      <c r="F6" s="4">
        <v>18</v>
      </c>
      <c r="G6" s="4">
        <v>25</v>
      </c>
      <c r="H6" s="5">
        <f t="shared" si="1"/>
        <v>0.72</v>
      </c>
      <c r="I6" s="4">
        <v>446</v>
      </c>
      <c r="J6" s="4">
        <v>664</v>
      </c>
      <c r="K6" s="5">
        <f t="shared" si="2"/>
        <v>0.67168674698795183</v>
      </c>
    </row>
    <row r="7" spans="1:11" x14ac:dyDescent="0.3">
      <c r="A7" s="4" t="s">
        <v>15</v>
      </c>
      <c r="B7" s="4" t="s">
        <v>49</v>
      </c>
      <c r="C7" s="4">
        <v>935</v>
      </c>
      <c r="D7" s="4">
        <v>1427</v>
      </c>
      <c r="E7" s="5">
        <f t="shared" si="0"/>
        <v>0.65522074281709886</v>
      </c>
      <c r="F7" s="4">
        <v>974</v>
      </c>
      <c r="G7" s="4">
        <v>1427</v>
      </c>
      <c r="H7" s="5">
        <f t="shared" si="1"/>
        <v>0.6825508058864751</v>
      </c>
      <c r="I7" s="4">
        <v>1074</v>
      </c>
      <c r="J7" s="4">
        <v>1427</v>
      </c>
      <c r="K7" s="5">
        <f t="shared" si="2"/>
        <v>0.75262789067974767</v>
      </c>
    </row>
    <row r="8" spans="1:11" x14ac:dyDescent="0.3">
      <c r="A8" s="4" t="s">
        <v>15</v>
      </c>
      <c r="B8" s="4" t="s">
        <v>50</v>
      </c>
      <c r="C8" s="4">
        <v>1225</v>
      </c>
      <c r="D8" s="4">
        <v>1811</v>
      </c>
      <c r="E8" s="5">
        <f t="shared" si="0"/>
        <v>0.67642186637217006</v>
      </c>
      <c r="F8" s="4">
        <v>1213</v>
      </c>
      <c r="G8" s="4">
        <v>1802</v>
      </c>
      <c r="H8" s="5">
        <f t="shared" si="1"/>
        <v>0.67314095449500555</v>
      </c>
      <c r="I8" s="4">
        <v>1336</v>
      </c>
      <c r="J8" s="4">
        <v>1811</v>
      </c>
      <c r="K8" s="5">
        <f t="shared" si="2"/>
        <v>0.73771397018221974</v>
      </c>
    </row>
    <row r="9" spans="1:11" x14ac:dyDescent="0.3">
      <c r="A9" s="4" t="s">
        <v>15</v>
      </c>
      <c r="B9" s="4" t="s">
        <v>51</v>
      </c>
      <c r="C9" s="4">
        <v>1064</v>
      </c>
      <c r="D9" s="4">
        <v>1591</v>
      </c>
      <c r="E9" s="5">
        <f t="shared" si="0"/>
        <v>0.66876178504085482</v>
      </c>
      <c r="F9" s="4">
        <v>28</v>
      </c>
      <c r="G9" s="4">
        <v>45</v>
      </c>
      <c r="H9" s="5">
        <f t="shared" si="1"/>
        <v>0.62222222222222223</v>
      </c>
      <c r="I9" s="4">
        <v>1177</v>
      </c>
      <c r="J9" s="4">
        <v>1591</v>
      </c>
      <c r="K9" s="5">
        <f t="shared" si="2"/>
        <v>0.73978629792583284</v>
      </c>
    </row>
    <row r="10" spans="1:11" x14ac:dyDescent="0.3">
      <c r="A10" s="4" t="s">
        <v>16</v>
      </c>
      <c r="B10" s="4" t="s">
        <v>49</v>
      </c>
      <c r="C10" s="4">
        <v>3626</v>
      </c>
      <c r="D10" s="4">
        <v>4706</v>
      </c>
      <c r="E10" s="5">
        <f t="shared" si="0"/>
        <v>0.77050573735656613</v>
      </c>
      <c r="F10" s="4">
        <v>2975</v>
      </c>
      <c r="G10" s="4">
        <v>4699</v>
      </c>
      <c r="H10" s="5">
        <f t="shared" si="1"/>
        <v>0.63311342838901896</v>
      </c>
      <c r="I10" s="4">
        <v>3451</v>
      </c>
      <c r="J10" s="4">
        <v>4706</v>
      </c>
      <c r="K10" s="5">
        <f t="shared" si="2"/>
        <v>0.73331916702082445</v>
      </c>
    </row>
    <row r="11" spans="1:11" x14ac:dyDescent="0.3">
      <c r="A11" s="4" t="s">
        <v>16</v>
      </c>
      <c r="B11" s="4" t="s">
        <v>50</v>
      </c>
      <c r="C11" s="4">
        <v>2858</v>
      </c>
      <c r="D11" s="4">
        <v>3704</v>
      </c>
      <c r="E11" s="5">
        <f t="shared" si="0"/>
        <v>0.77159827213822896</v>
      </c>
      <c r="F11" s="4">
        <v>2399</v>
      </c>
      <c r="G11" s="4">
        <v>3694</v>
      </c>
      <c r="H11" s="5">
        <f t="shared" si="1"/>
        <v>0.64943151055766102</v>
      </c>
      <c r="I11" s="4">
        <v>2672</v>
      </c>
      <c r="J11" s="4">
        <v>3704</v>
      </c>
      <c r="K11" s="5">
        <f t="shared" si="2"/>
        <v>0.72138228941684668</v>
      </c>
    </row>
    <row r="12" spans="1:11" x14ac:dyDescent="0.3">
      <c r="A12" s="4" t="s">
        <v>16</v>
      </c>
      <c r="B12" s="4" t="s">
        <v>51</v>
      </c>
      <c r="C12" s="4">
        <v>2104</v>
      </c>
      <c r="D12" s="4">
        <v>2698</v>
      </c>
      <c r="E12" s="5">
        <f t="shared" si="0"/>
        <v>0.77983691623424756</v>
      </c>
      <c r="F12" s="4">
        <v>69</v>
      </c>
      <c r="G12" s="4">
        <v>111</v>
      </c>
      <c r="H12" s="5">
        <f t="shared" si="1"/>
        <v>0.6216216216216216</v>
      </c>
      <c r="I12" s="4">
        <v>1943</v>
      </c>
      <c r="J12" s="4">
        <v>2698</v>
      </c>
      <c r="K12" s="5">
        <f t="shared" si="2"/>
        <v>0.72016308376575244</v>
      </c>
    </row>
    <row r="13" spans="1:11" x14ac:dyDescent="0.3">
      <c r="A13" s="4" t="s">
        <v>17</v>
      </c>
      <c r="B13" s="4" t="s">
        <v>49</v>
      </c>
      <c r="C13" s="4">
        <v>552</v>
      </c>
      <c r="D13" s="4">
        <v>777</v>
      </c>
      <c r="E13" s="5">
        <f t="shared" si="0"/>
        <v>0.71042471042471045</v>
      </c>
      <c r="F13" s="4">
        <v>434</v>
      </c>
      <c r="G13" s="4">
        <v>777</v>
      </c>
      <c r="H13" s="5">
        <f t="shared" si="1"/>
        <v>0.55855855855855852</v>
      </c>
      <c r="I13" s="4">
        <v>649</v>
      </c>
      <c r="J13" s="4">
        <v>777</v>
      </c>
      <c r="K13" s="5">
        <f t="shared" si="2"/>
        <v>0.8352638352638353</v>
      </c>
    </row>
    <row r="14" spans="1:11" x14ac:dyDescent="0.3">
      <c r="A14" s="4" t="s">
        <v>17</v>
      </c>
      <c r="B14" s="4" t="s">
        <v>50</v>
      </c>
      <c r="C14" s="4">
        <v>456</v>
      </c>
      <c r="D14" s="4">
        <v>631</v>
      </c>
      <c r="E14" s="5">
        <f t="shared" si="0"/>
        <v>0.72266244057052298</v>
      </c>
      <c r="F14" s="4">
        <v>358</v>
      </c>
      <c r="G14" s="4">
        <v>629</v>
      </c>
      <c r="H14" s="5">
        <f t="shared" si="1"/>
        <v>0.56915739268680443</v>
      </c>
      <c r="I14" s="4">
        <v>505</v>
      </c>
      <c r="J14" s="4">
        <v>631</v>
      </c>
      <c r="K14" s="5">
        <f t="shared" si="2"/>
        <v>0.80031695721077656</v>
      </c>
    </row>
    <row r="15" spans="1:11" x14ac:dyDescent="0.3">
      <c r="A15" s="4" t="s">
        <v>17</v>
      </c>
      <c r="B15" s="4" t="s">
        <v>51</v>
      </c>
      <c r="C15" s="4">
        <v>478</v>
      </c>
      <c r="D15" s="4">
        <v>665</v>
      </c>
      <c r="E15" s="5">
        <f t="shared" si="0"/>
        <v>0.71879699248120299</v>
      </c>
      <c r="F15" s="4">
        <v>13</v>
      </c>
      <c r="G15" s="4">
        <v>18</v>
      </c>
      <c r="H15" s="5">
        <f t="shared" si="1"/>
        <v>0.72222222222222221</v>
      </c>
      <c r="I15" s="4">
        <v>535</v>
      </c>
      <c r="J15" s="4">
        <v>665</v>
      </c>
      <c r="K15" s="5">
        <f t="shared" si="2"/>
        <v>0.80451127819548873</v>
      </c>
    </row>
    <row r="16" spans="1:11" x14ac:dyDescent="0.3">
      <c r="A16" s="4" t="s">
        <v>18</v>
      </c>
      <c r="B16" s="4" t="s">
        <v>49</v>
      </c>
      <c r="C16" s="4">
        <v>1275</v>
      </c>
      <c r="D16" s="4">
        <v>1581</v>
      </c>
      <c r="E16" s="5">
        <f t="shared" si="0"/>
        <v>0.80645161290322576</v>
      </c>
      <c r="F16" s="4">
        <v>1019</v>
      </c>
      <c r="G16" s="4">
        <v>1576</v>
      </c>
      <c r="H16" s="5">
        <f t="shared" si="1"/>
        <v>0.64657360406091369</v>
      </c>
      <c r="I16" s="4">
        <v>1282</v>
      </c>
      <c r="J16" s="4">
        <v>1581</v>
      </c>
      <c r="K16" s="5">
        <f t="shared" si="2"/>
        <v>0.81087919038583178</v>
      </c>
    </row>
    <row r="17" spans="1:11" x14ac:dyDescent="0.3">
      <c r="A17" s="4" t="s">
        <v>18</v>
      </c>
      <c r="B17" s="4" t="s">
        <v>50</v>
      </c>
      <c r="C17" s="4">
        <v>950</v>
      </c>
      <c r="D17" s="4">
        <v>1175</v>
      </c>
      <c r="E17" s="5">
        <f t="shared" si="0"/>
        <v>0.80851063829787229</v>
      </c>
      <c r="F17" s="4">
        <v>803</v>
      </c>
      <c r="G17" s="4">
        <v>1167</v>
      </c>
      <c r="H17" s="5">
        <f t="shared" si="1"/>
        <v>0.68808911739502998</v>
      </c>
      <c r="I17" s="4">
        <v>918</v>
      </c>
      <c r="J17" s="4">
        <v>1175</v>
      </c>
      <c r="K17" s="5">
        <f t="shared" si="2"/>
        <v>0.78127659574468089</v>
      </c>
    </row>
    <row r="18" spans="1:11" x14ac:dyDescent="0.3">
      <c r="A18" s="4" t="s">
        <v>18</v>
      </c>
      <c r="B18" s="4" t="s">
        <v>51</v>
      </c>
      <c r="C18" s="4">
        <v>366</v>
      </c>
      <c r="D18" s="4">
        <v>445</v>
      </c>
      <c r="E18" s="5">
        <f t="shared" si="0"/>
        <v>0.82247191011235954</v>
      </c>
      <c r="F18" s="4">
        <v>33</v>
      </c>
      <c r="G18" s="4">
        <v>49</v>
      </c>
      <c r="H18" s="5">
        <f t="shared" si="1"/>
        <v>0.67346938775510201</v>
      </c>
      <c r="I18" s="4">
        <v>358</v>
      </c>
      <c r="J18" s="4">
        <v>445</v>
      </c>
      <c r="K18" s="5">
        <f t="shared" si="2"/>
        <v>0.80449438202247192</v>
      </c>
    </row>
    <row r="19" spans="1:11" x14ac:dyDescent="0.3">
      <c r="A19" s="4" t="s">
        <v>19</v>
      </c>
      <c r="B19" s="4" t="s">
        <v>49</v>
      </c>
      <c r="C19" s="4">
        <v>248</v>
      </c>
      <c r="D19" s="4">
        <v>359</v>
      </c>
      <c r="E19" s="5">
        <f t="shared" si="0"/>
        <v>0.69080779944289694</v>
      </c>
      <c r="F19" s="4">
        <v>205</v>
      </c>
      <c r="G19" s="4">
        <v>358</v>
      </c>
      <c r="H19" s="5">
        <f t="shared" si="1"/>
        <v>0.57262569832402233</v>
      </c>
      <c r="I19" s="4">
        <v>319</v>
      </c>
      <c r="J19" s="4">
        <v>359</v>
      </c>
      <c r="K19" s="5">
        <f t="shared" si="2"/>
        <v>0.88857938718662954</v>
      </c>
    </row>
    <row r="20" spans="1:11" x14ac:dyDescent="0.3">
      <c r="A20" s="4" t="s">
        <v>19</v>
      </c>
      <c r="B20" s="4" t="s">
        <v>50</v>
      </c>
      <c r="C20" s="4">
        <v>161</v>
      </c>
      <c r="D20" s="4">
        <v>206</v>
      </c>
      <c r="E20" s="5">
        <f t="shared" si="0"/>
        <v>0.78155339805825241</v>
      </c>
      <c r="F20" s="4">
        <v>108</v>
      </c>
      <c r="G20" s="4">
        <v>205</v>
      </c>
      <c r="H20" s="5">
        <f t="shared" si="1"/>
        <v>0.52682926829268295</v>
      </c>
      <c r="I20" s="4">
        <v>186</v>
      </c>
      <c r="J20" s="4">
        <v>206</v>
      </c>
      <c r="K20" s="5">
        <f t="shared" si="2"/>
        <v>0.90291262135922334</v>
      </c>
    </row>
    <row r="21" spans="1:11" x14ac:dyDescent="0.3">
      <c r="A21" s="4" t="s">
        <v>19</v>
      </c>
      <c r="B21" s="4" t="s">
        <v>51</v>
      </c>
      <c r="C21" s="4">
        <v>164</v>
      </c>
      <c r="D21" s="4">
        <v>240</v>
      </c>
      <c r="E21" s="5">
        <f t="shared" si="0"/>
        <v>0.68333333333333335</v>
      </c>
      <c r="F21" s="4">
        <v>2</v>
      </c>
      <c r="G21" s="4">
        <v>5</v>
      </c>
      <c r="H21" s="5">
        <f t="shared" si="1"/>
        <v>0.4</v>
      </c>
      <c r="I21" s="4">
        <v>207</v>
      </c>
      <c r="J21" s="4">
        <v>240</v>
      </c>
      <c r="K21" s="5">
        <f t="shared" si="2"/>
        <v>0.86250000000000004</v>
      </c>
    </row>
    <row r="22" spans="1:11" x14ac:dyDescent="0.3">
      <c r="A22" s="4" t="s">
        <v>20</v>
      </c>
      <c r="B22" s="4" t="s">
        <v>49</v>
      </c>
      <c r="C22" s="4">
        <v>1417</v>
      </c>
      <c r="D22" s="4">
        <v>1673</v>
      </c>
      <c r="E22" s="5">
        <f t="shared" si="0"/>
        <v>0.84698147041243277</v>
      </c>
      <c r="F22" s="4">
        <v>1142</v>
      </c>
      <c r="G22" s="4">
        <v>1668</v>
      </c>
      <c r="H22" s="5">
        <f t="shared" si="1"/>
        <v>0.684652278177458</v>
      </c>
      <c r="I22" s="4">
        <v>1492</v>
      </c>
      <c r="J22" s="4">
        <v>1673</v>
      </c>
      <c r="K22" s="5">
        <f t="shared" si="2"/>
        <v>0.89181111775254029</v>
      </c>
    </row>
    <row r="23" spans="1:11" x14ac:dyDescent="0.3">
      <c r="A23" s="4" t="s">
        <v>20</v>
      </c>
      <c r="B23" s="4" t="s">
        <v>50</v>
      </c>
      <c r="C23" s="4">
        <v>518</v>
      </c>
      <c r="D23" s="4">
        <v>619</v>
      </c>
      <c r="E23" s="5">
        <f t="shared" si="0"/>
        <v>0.83683360258481421</v>
      </c>
      <c r="F23" s="4">
        <v>434</v>
      </c>
      <c r="G23" s="4">
        <v>617</v>
      </c>
      <c r="H23" s="5">
        <f t="shared" si="1"/>
        <v>0.70340356564019446</v>
      </c>
      <c r="I23" s="4">
        <v>529</v>
      </c>
      <c r="J23" s="4">
        <v>619</v>
      </c>
      <c r="K23" s="5">
        <f t="shared" si="2"/>
        <v>0.8546042003231018</v>
      </c>
    </row>
    <row r="24" spans="1:11" x14ac:dyDescent="0.3">
      <c r="A24" s="4" t="s">
        <v>20</v>
      </c>
      <c r="B24" s="4" t="s">
        <v>51</v>
      </c>
      <c r="C24" s="4">
        <v>147</v>
      </c>
      <c r="D24" s="4">
        <v>175</v>
      </c>
      <c r="E24" s="5">
        <f t="shared" si="0"/>
        <v>0.84</v>
      </c>
      <c r="F24" s="4">
        <v>20</v>
      </c>
      <c r="G24" s="4">
        <v>28</v>
      </c>
      <c r="H24" s="5">
        <f t="shared" si="1"/>
        <v>0.7142857142857143</v>
      </c>
      <c r="I24" s="4">
        <v>154</v>
      </c>
      <c r="J24" s="4">
        <v>175</v>
      </c>
      <c r="K24" s="5">
        <f t="shared" si="2"/>
        <v>0.88</v>
      </c>
    </row>
    <row r="25" spans="1:11" x14ac:dyDescent="0.3">
      <c r="A25" s="4" t="s">
        <v>21</v>
      </c>
      <c r="B25" s="4" t="s">
        <v>49</v>
      </c>
      <c r="C25" s="4">
        <v>765</v>
      </c>
      <c r="D25" s="4">
        <v>929</v>
      </c>
      <c r="E25" s="5">
        <f t="shared" si="0"/>
        <v>0.82346609257265879</v>
      </c>
      <c r="F25" s="4">
        <v>608</v>
      </c>
      <c r="G25" s="4">
        <v>927</v>
      </c>
      <c r="H25" s="5">
        <f t="shared" si="1"/>
        <v>0.65587918015102487</v>
      </c>
      <c r="I25" s="4">
        <v>873</v>
      </c>
      <c r="J25" s="4">
        <v>929</v>
      </c>
      <c r="K25" s="5">
        <f t="shared" si="2"/>
        <v>0.93972012917115177</v>
      </c>
    </row>
    <row r="26" spans="1:11" x14ac:dyDescent="0.3">
      <c r="A26" s="4" t="s">
        <v>21</v>
      </c>
      <c r="B26" s="4" t="s">
        <v>50</v>
      </c>
      <c r="C26" s="4">
        <v>215</v>
      </c>
      <c r="D26" s="4">
        <v>254</v>
      </c>
      <c r="E26" s="5">
        <f t="shared" si="0"/>
        <v>0.84645669291338588</v>
      </c>
      <c r="F26" s="4">
        <v>156</v>
      </c>
      <c r="G26" s="4">
        <v>248</v>
      </c>
      <c r="H26" s="5">
        <f t="shared" si="1"/>
        <v>0.62903225806451613</v>
      </c>
      <c r="I26" s="4">
        <v>244</v>
      </c>
      <c r="J26" s="4">
        <v>254</v>
      </c>
      <c r="K26" s="5">
        <f t="shared" si="2"/>
        <v>0.96062992125984248</v>
      </c>
    </row>
    <row r="27" spans="1:11" x14ac:dyDescent="0.3">
      <c r="A27" s="4" t="s">
        <v>21</v>
      </c>
      <c r="B27" s="4" t="s">
        <v>51</v>
      </c>
      <c r="C27" s="4">
        <v>154</v>
      </c>
      <c r="D27" s="4">
        <v>198</v>
      </c>
      <c r="E27" s="5">
        <f t="shared" si="0"/>
        <v>0.77777777777777779</v>
      </c>
      <c r="F27" s="4">
        <v>5</v>
      </c>
      <c r="G27" s="4">
        <v>7</v>
      </c>
      <c r="H27" s="5">
        <f t="shared" si="1"/>
        <v>0.7142857142857143</v>
      </c>
      <c r="I27" s="4">
        <v>185</v>
      </c>
      <c r="J27" s="4">
        <v>198</v>
      </c>
      <c r="K27" s="5">
        <f t="shared" si="2"/>
        <v>0.93434343434343436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zoomScaleNormal="100" workbookViewId="0"/>
  </sheetViews>
  <sheetFormatPr defaultColWidth="8.6640625" defaultRowHeight="14.4" x14ac:dyDescent="0.3"/>
  <cols>
    <col min="1" max="1" width="102" customWidth="1"/>
  </cols>
  <sheetData>
    <row r="1" spans="1:1" ht="15.6" x14ac:dyDescent="0.3">
      <c r="A1" s="7" t="s">
        <v>53</v>
      </c>
    </row>
    <row r="2" spans="1:1" x14ac:dyDescent="0.3">
      <c r="A2" s="8" t="s">
        <v>54</v>
      </c>
    </row>
    <row r="3" spans="1:1" x14ac:dyDescent="0.3">
      <c r="A3" s="8" t="s">
        <v>55</v>
      </c>
    </row>
    <row r="4" spans="1:1" x14ac:dyDescent="0.3">
      <c r="A4" s="8"/>
    </row>
    <row r="5" spans="1:1" x14ac:dyDescent="0.3">
      <c r="A5" s="9" t="s">
        <v>56</v>
      </c>
    </row>
    <row r="6" spans="1:1" x14ac:dyDescent="0.3">
      <c r="A6" s="8" t="s">
        <v>57</v>
      </c>
    </row>
    <row r="7" spans="1:1" x14ac:dyDescent="0.3">
      <c r="A7" s="8"/>
    </row>
    <row r="8" spans="1:1" x14ac:dyDescent="0.3">
      <c r="A8" s="9" t="s">
        <v>58</v>
      </c>
    </row>
    <row r="9" spans="1:1" x14ac:dyDescent="0.3">
      <c r="A9" s="8" t="s">
        <v>59</v>
      </c>
    </row>
    <row r="10" spans="1:1" x14ac:dyDescent="0.3">
      <c r="A10" s="8" t="s">
        <v>60</v>
      </c>
    </row>
    <row r="11" spans="1:1" x14ac:dyDescent="0.3">
      <c r="A11" s="8" t="s">
        <v>61</v>
      </c>
    </row>
    <row r="12" spans="1:1" x14ac:dyDescent="0.3">
      <c r="A12" s="8" t="s">
        <v>62</v>
      </c>
    </row>
    <row r="13" spans="1:1" x14ac:dyDescent="0.3">
      <c r="A13" s="8"/>
    </row>
    <row r="14" spans="1:1" x14ac:dyDescent="0.3">
      <c r="A14" s="9" t="s">
        <v>63</v>
      </c>
    </row>
    <row r="15" spans="1:1" x14ac:dyDescent="0.3">
      <c r="A15" s="8" t="s">
        <v>64</v>
      </c>
    </row>
    <row r="16" spans="1:1" x14ac:dyDescent="0.3">
      <c r="A16" s="8" t="s">
        <v>65</v>
      </c>
    </row>
    <row r="17" spans="1:1" x14ac:dyDescent="0.3">
      <c r="A17" s="8" t="s">
        <v>66</v>
      </c>
    </row>
    <row r="18" spans="1:1" x14ac:dyDescent="0.3">
      <c r="A18" s="8"/>
    </row>
    <row r="19" spans="1:1" x14ac:dyDescent="0.3">
      <c r="A19" s="9" t="s">
        <v>67</v>
      </c>
    </row>
    <row r="20" spans="1:1" x14ac:dyDescent="0.3">
      <c r="A20" s="8" t="s">
        <v>68</v>
      </c>
    </row>
    <row r="21" spans="1:1" x14ac:dyDescent="0.3">
      <c r="A21" s="8" t="s">
        <v>69</v>
      </c>
    </row>
    <row r="22" spans="1:1" x14ac:dyDescent="0.3">
      <c r="A22" s="8" t="s">
        <v>70</v>
      </c>
    </row>
    <row r="23" spans="1:1" x14ac:dyDescent="0.3">
      <c r="A23" s="8" t="s">
        <v>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Spread Signal</vt:lpstr>
      <vt:lpstr>DF Signal</vt:lpstr>
      <vt:lpstr>Baseline Cell x Market</vt:lpstr>
      <vt:lpstr>Tier x Market</vt:lpstr>
      <vt:lpstr>Cell x Tier x Market</vt:lpstr>
      <vt:lpstr>Notes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Katlego</cp:lastModifiedBy>
  <cp:revision>0</cp:revision>
  <dcterms:created xsi:type="dcterms:W3CDTF">2026-06-18T11:05:28Z</dcterms:created>
  <dcterms:modified xsi:type="dcterms:W3CDTF">2026-06-18T13:20:12Z</dcterms:modified>
  <dc:language>en-US</dc:language>
</cp:coreProperties>
</file>